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E:\Excel\"/>
    </mc:Choice>
  </mc:AlternateContent>
  <xr:revisionPtr revIDLastSave="0" documentId="13_ncr:1_{5E1F9312-55FE-49E2-98A3-367DA507426A}" xr6:coauthVersionLast="47" xr6:coauthVersionMax="47" xr10:uidLastSave="{00000000-0000-0000-0000-000000000000}"/>
  <bookViews>
    <workbookView xWindow="-110" yWindow="-110" windowWidth="19420" windowHeight="10300" activeTab="2" xr2:uid="{2D0893F8-2B96-4B52-94C9-46FD2B274829}"/>
  </bookViews>
  <sheets>
    <sheet name="Pivot Report" sheetId="1" r:id="rId1"/>
    <sheet name="Satisfaction Score" sheetId="6" r:id="rId2"/>
    <sheet name="DashBoard" sheetId="2" r:id="rId3"/>
    <sheet name="Average WaitTime" sheetId="5" r:id="rId4"/>
    <sheet name="Daily ER No of Patient" sheetId="3"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856d1f4-0032-48f5-bb60-eefebee7b24c" name="Hospital Emergency Room Data" connection="Query - Hospital Emergency Room Data"/>
          <x15:modelTable id="Calendar Table_406332a1-e169-420d-801b-06bcdb690541"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47" i="1" l="1"/>
  <c r="B47" i="1"/>
  <c r="C47" i="1"/>
  <c r="A48" i="1"/>
  <c r="B48" i="1"/>
  <c r="C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207384-6B1C-4A69-AD59-69E20888F035}" name="Query - Calendar Table" description="Connection to the 'Calendar Table' query in the workbook." type="100" refreshedVersion="8" minRefreshableVersion="5">
    <extLst>
      <ext xmlns:x15="http://schemas.microsoft.com/office/spreadsheetml/2010/11/main" uri="{DE250136-89BD-433C-8126-D09CA5730AF9}">
        <x15:connection id="1e4cbb3a-f624-4e3a-af23-3e1a6d7ee7c3"/>
      </ext>
    </extLst>
  </connection>
  <connection id="2" xr16:uid="{6423B4C6-C656-461E-9AA3-3D05AFB54BA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45bd8a0-8ea7-42f9-8243-1a4ccd51c60e"/>
      </ext>
    </extLst>
  </connection>
  <connection id="3" xr16:uid="{72020CAC-257C-4BAA-AB65-CB7C3C3E85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<sst xmlns="http://schemas.openxmlformats.org/spreadsheetml/2006/main" count="155" uniqueCount="74">
  <si>
    <t>Distinct Count of Patient Id</t>
  </si>
  <si>
    <t>Average of Patient Waittime</t>
  </si>
  <si>
    <t>Average of Patient Satisfaction Score</t>
  </si>
  <si>
    <t>Row Labels</t>
  </si>
  <si>
    <t>Grand Total</t>
  </si>
  <si>
    <t>Daily Patient Trend</t>
  </si>
  <si>
    <t>Average WaitTime</t>
  </si>
  <si>
    <t>Average Satisfaction Score</t>
  </si>
  <si>
    <t>Delay</t>
  </si>
  <si>
    <t>On Time</t>
  </si>
  <si>
    <t>Count of Patient Attend Status</t>
  </si>
  <si>
    <t>Admitted</t>
  </si>
  <si>
    <t>Non Admitted</t>
  </si>
  <si>
    <t>Count of Patient Admission Flag</t>
  </si>
  <si>
    <t>Count of Patient Admission Flag2</t>
  </si>
  <si>
    <t>Addmission Status</t>
  </si>
  <si>
    <t>No. of Patients</t>
  </si>
  <si>
    <t>%Status</t>
  </si>
  <si>
    <t>0-9</t>
  </si>
  <si>
    <t>10-19</t>
  </si>
  <si>
    <t>20-29</t>
  </si>
  <si>
    <t>30-39</t>
  </si>
  <si>
    <t>40-49</t>
  </si>
  <si>
    <t>50-59</t>
  </si>
  <si>
    <t>60-69</t>
  </si>
  <si>
    <t>70-79</t>
  </si>
  <si>
    <t>Count of Age Group</t>
  </si>
  <si>
    <t>Age Groupwise Analysis</t>
  </si>
  <si>
    <t>Attend Status</t>
  </si>
  <si>
    <t>Female</t>
  </si>
  <si>
    <t>Male</t>
  </si>
  <si>
    <t>Count of Patient Gender</t>
  </si>
  <si>
    <t>Gender</t>
  </si>
  <si>
    <t>Count of Department Referral</t>
  </si>
  <si>
    <t>Cardiology</t>
  </si>
  <si>
    <t>Gastroenterology</t>
  </si>
  <si>
    <t>General Practice</t>
  </si>
  <si>
    <t>Neurology</t>
  </si>
  <si>
    <t>None</t>
  </si>
  <si>
    <t>Orthopedics</t>
  </si>
  <si>
    <t>Physiotherapy</t>
  </si>
  <si>
    <t>Renal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</si>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</sst>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4"/>
      <name val="Aptos Narrow"/>
      <family val="2"/>
      <scheme val="minor"/>
    </font>
    <font>
      <sz val="11"/>
      <color theme="1"/>
      <name val="Aptos Narrow"/>
      <family val="2"/>
      <scheme val="minor"/>
    </font>
  </fonts>
  <fills count="7">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theme="4"/>
        <bgColor indexed="64"/>
      </patternFill>
    </fill>
    <fill>
      <patternFill patternType="solid">
        <fgColor theme="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0" fillId="0" borderId="0" xfId="0" applyAlignment="1">
      <alignment horizontal="left"/>
    </xf>
    <xf numFmtId="0" fontId="0" fillId="2" borderId="0" xfId="0" applyFill="1"/>
    <xf numFmtId="0" fontId="0" fillId="3" borderId="0" xfId="0" applyFill="1"/>
    <xf numFmtId="2" fontId="0" fillId="0" borderId="0" xfId="0" applyNumberFormat="1"/>
    <xf numFmtId="0" fontId="0" fillId="0" borderId="0" xfId="0" pivotButton="1"/>
    <xf numFmtId="10" fontId="0" fillId="0" borderId="0" xfId="0" applyNumberFormat="1"/>
    <xf numFmtId="1" fontId="0" fillId="0" borderId="0" xfId="0" applyNumberFormat="1"/>
    <xf numFmtId="0" fontId="0" fillId="4" borderId="0" xfId="0" applyFill="1"/>
    <xf numFmtId="0" fontId="1" fillId="2" borderId="0" xfId="0" applyFont="1" applyFill="1"/>
    <xf numFmtId="0" fontId="0" fillId="5" borderId="0" xfId="0" applyFill="1" applyAlignment="1">
      <alignment horizontal="center"/>
    </xf>
    <xf numFmtId="0" fontId="0" fillId="6" borderId="0" xfId="0" applyFill="1" applyAlignment="1">
      <alignment horizontal="center"/>
    </xf>
    <xf numFmtId="10" fontId="0" fillId="6" borderId="0" xfId="1" applyNumberFormat="1" applyFont="1" applyFill="1" applyAlignment="1">
      <alignment horizontal="right"/>
    </xf>
  </cellXfs>
  <cellStyles count="2">
    <cellStyle name="Normal" xfId="0" builtinId="0"/>
    <cellStyle name="Percent" xfId="1" builtinId="5"/>
  </cellStyles>
  <dxfs count="19">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font>
        <b/>
        <color theme="1"/>
      </font>
      <border>
        <bottom style="thin">
          <color theme="5"/>
        </bottom>
        <vertical/>
        <horizontal/>
      </border>
    </dxf>
    <dxf>
      <font>
        <sz val="7"/>
        <color theme="2"/>
      </font>
      <fill>
        <patternFill>
          <bgColor theme="2"/>
        </patternFill>
      </fill>
      <border diagonalUp="0" diagonalDown="0">
        <left/>
        <right/>
        <top/>
        <bottom/>
        <vertical/>
        <horizontal/>
      </border>
    </dxf>
    <dxf>
      <font>
        <b/>
        <color theme="1"/>
      </font>
      <border>
        <bottom style="thin">
          <color theme="4"/>
        </bottom>
        <vertical/>
        <horizontal/>
      </border>
    </dxf>
    <dxf>
      <font>
        <color theme="1"/>
      </font>
      <fill>
        <patternFill>
          <bgColor theme="2"/>
        </patternFill>
      </fill>
      <border diagonalUp="0" diagonalDown="0">
        <left/>
        <right/>
        <top/>
        <bottom/>
        <vertical/>
        <horizontal/>
      </border>
    </dxf>
    <dxf>
      <font>
        <b/>
        <color theme="1"/>
      </font>
      <border>
        <bottom style="thin">
          <color theme="5"/>
        </bottom>
        <vertical/>
        <horizontal/>
      </border>
    </dxf>
    <dxf>
      <font>
        <sz val="8"/>
        <color theme="2" tint="-0.499984740745262"/>
      </font>
      <fill>
        <patternFill>
          <bgColor theme="2" tint="-0.749961851863155"/>
        </patternFill>
      </fill>
      <border diagonalUp="0" diagonalDown="0">
        <left/>
        <right/>
        <top/>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4" defaultTableStyle="TableStyleMedium2" defaultPivotStyle="PivotStyleLight16">
    <tableStyle name="My Style" pivot="0" table="0" count="10" xr9:uid="{AF0A5EEB-6CF2-49CB-A0F5-D560C6D5D3BA}">
      <tableStyleElement type="wholeTable" dxfId="18"/>
      <tableStyleElement type="headerRow" dxfId="17"/>
    </tableStyle>
    <tableStyle name="My Style 2" pivot="0" table="0" count="10" xr9:uid="{57D07BC5-A653-43C4-8CAD-195341DD5101}">
      <tableStyleElement type="wholeTable" dxfId="16"/>
      <tableStyleElement type="headerRow" dxfId="15"/>
    </tableStyle>
    <tableStyle name="SlicerStyleDark1 2" pivot="0" table="0" count="10" xr9:uid="{F6BAACB2-2C86-4A34-BE48-65769E41A298}">
      <tableStyleElement type="wholeTable" dxfId="14"/>
      <tableStyleElement type="headerRow" dxfId="13"/>
    </tableStyle>
    <tableStyle name="SlicerStyleDark2 2" pivot="0" table="0" count="10" xr9:uid="{0A84252F-69C7-43A5-B870-02D8DD8250DF}">
      <tableStyleElement type="wholeTable" dxfId="12"/>
      <tableStyleElement type="headerRow" dxfId="11"/>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 Style 2">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Report!PivotTable7</c:name>
    <c:fmtId val="9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9999408928556351E-2"/>
          <c:w val="0.98310602691982596"/>
          <c:h val="0.89333333333333331"/>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cat>
            <c:strRef>
              <c:f>'Pivot Report'!$A$41:$A$43</c:f>
              <c:strCache>
                <c:ptCount val="2"/>
                <c:pt idx="0">
                  <c:v>Admitted</c:v>
                </c:pt>
                <c:pt idx="1">
                  <c:v>Non Admitted</c:v>
                </c:pt>
              </c:strCache>
            </c:strRef>
          </c:cat>
          <c:val>
            <c:numRef>
              <c:f>'Pivot Report'!$B$41:$B$43</c:f>
              <c:numCache>
                <c:formatCode>0.00</c:formatCode>
                <c:ptCount val="2"/>
                <c:pt idx="0">
                  <c:v>266</c:v>
                </c:pt>
                <c:pt idx="1">
                  <c:v>222</c:v>
                </c:pt>
              </c:numCache>
            </c:numRef>
          </c:val>
          <c:extLst>
            <c:ext xmlns:c16="http://schemas.microsoft.com/office/drawing/2014/chart" uri="{C3380CC4-5D6E-409C-BE32-E72D297353CC}">
              <c16:uniqueId val="{00000005-D7B1-46F3-8FF9-2B92FF5E6E19}"/>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Non Admitted</c:v>
                </c:pt>
              </c:strCache>
            </c:strRef>
          </c:cat>
          <c:val>
            <c:numRef>
              <c:f>'Pivot Report'!$C$41:$C$43</c:f>
              <c:numCache>
                <c:formatCode>0.00%</c:formatCode>
                <c:ptCount val="2"/>
                <c:pt idx="0">
                  <c:v>0.54508196721311475</c:v>
                </c:pt>
                <c:pt idx="1">
                  <c:v>0.45491803278688525</c:v>
                </c:pt>
              </c:numCache>
            </c:numRef>
          </c:val>
          <c:extLst>
            <c:ext xmlns:c16="http://schemas.microsoft.com/office/drawing/2014/chart" uri="{C3380CC4-5D6E-409C-BE32-E72D297353CC}">
              <c16:uniqueId val="{00000006-D7B1-46F3-8FF9-2B92FF5E6E19}"/>
            </c:ext>
          </c:extLst>
        </c:ser>
        <c:dLbls>
          <c:showLegendKey val="0"/>
          <c:showVal val="0"/>
          <c:showCatName val="0"/>
          <c:showSerName val="0"/>
          <c:showPercent val="0"/>
          <c:showBubbleSize val="0"/>
        </c:dLbls>
        <c:gapWidth val="24"/>
        <c:axId val="908533872"/>
        <c:axId val="1888864288"/>
      </c:barChart>
      <c:catAx>
        <c:axId val="908533872"/>
        <c:scaling>
          <c:orientation val="minMax"/>
        </c:scaling>
        <c:delete val="1"/>
        <c:axPos val="l"/>
        <c:numFmt formatCode="General" sourceLinked="1"/>
        <c:majorTickMark val="none"/>
        <c:minorTickMark val="none"/>
        <c:tickLblPos val="nextTo"/>
        <c:crossAx val="1888864288"/>
        <c:crosses val="autoZero"/>
        <c:auto val="1"/>
        <c:lblAlgn val="ctr"/>
        <c:lblOffset val="100"/>
        <c:noMultiLvlLbl val="0"/>
      </c:catAx>
      <c:valAx>
        <c:axId val="1888864288"/>
        <c:scaling>
          <c:orientation val="minMax"/>
        </c:scaling>
        <c:delete val="1"/>
        <c:axPos val="b"/>
        <c:numFmt formatCode="0.00" sourceLinked="1"/>
        <c:majorTickMark val="none"/>
        <c:minorTickMark val="none"/>
        <c:tickLblPos val="nextTo"/>
        <c:crossAx val="90853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Report!PivotTable6</c:name>
    <c:fmtId val="3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Trend</a:t>
            </a:r>
            <a:r>
              <a:rPr lang="en-US" baseline="0"/>
              <a:t> On Basis Of Satisfaction Score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3-FAE7-439D-AB6D-73D172C8F7C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2298527"/>
        <c:axId val="601350687"/>
      </c:areaChart>
      <c:catAx>
        <c:axId val="8222985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1350687"/>
        <c:crosses val="autoZero"/>
        <c:auto val="1"/>
        <c:lblAlgn val="ctr"/>
        <c:lblOffset val="100"/>
        <c:noMultiLvlLbl val="0"/>
      </c:catAx>
      <c:valAx>
        <c:axId val="601350687"/>
        <c:scaling>
          <c:orientation val="minMax"/>
        </c:scaling>
        <c:delete val="1"/>
        <c:axPos val="l"/>
        <c:numFmt formatCode="0.00" sourceLinked="1"/>
        <c:majorTickMark val="out"/>
        <c:minorTickMark val="none"/>
        <c:tickLblPos val="nextTo"/>
        <c:crossAx val="822298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77915512814788E-2"/>
          <c:y val="1.3128461646402356E-2"/>
          <c:w val="0.87519224816105112"/>
          <c:h val="0.86661879173579637"/>
        </c:manualLayout>
      </c:layout>
      <c:areaChart>
        <c:grouping val="standard"/>
        <c:varyColors val="0"/>
        <c:ser>
          <c:idx val="0"/>
          <c:order val="0"/>
          <c:tx>
            <c:strRef>
              <c:f>'Pivot Report'!$D$4</c:f>
              <c:strCache>
                <c:ptCount val="1"/>
                <c:pt idx="0">
                  <c:v>Total</c:v>
                </c:pt>
              </c:strCache>
            </c:strRef>
          </c:tx>
          <c:spPr>
            <a:solidFill>
              <a:schemeClr val="accent1"/>
            </a:solidFill>
            <a:ln w="25400">
              <a:noFill/>
            </a:ln>
            <a:effectLst/>
          </c:spPr>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3-EC45-4DA3-8667-E2B6ADFB38B2}"/>
            </c:ext>
          </c:extLst>
        </c:ser>
        <c:dLbls>
          <c:showLegendKey val="0"/>
          <c:showVal val="0"/>
          <c:showCatName val="0"/>
          <c:showSerName val="0"/>
          <c:showPercent val="0"/>
          <c:showBubbleSize val="0"/>
        </c:dLbls>
        <c:axId val="2080361343"/>
        <c:axId val="1922088031"/>
      </c:areaChart>
      <c:catAx>
        <c:axId val="2080361343"/>
        <c:scaling>
          <c:orientation val="minMax"/>
        </c:scaling>
        <c:delete val="1"/>
        <c:axPos val="b"/>
        <c:numFmt formatCode="General" sourceLinked="1"/>
        <c:majorTickMark val="out"/>
        <c:minorTickMark val="none"/>
        <c:tickLblPos val="nextTo"/>
        <c:crossAx val="1922088031"/>
        <c:crosses val="autoZero"/>
        <c:auto val="1"/>
        <c:lblAlgn val="ctr"/>
        <c:lblOffset val="100"/>
        <c:noMultiLvlLbl val="0"/>
      </c:catAx>
      <c:valAx>
        <c:axId val="1922088031"/>
        <c:scaling>
          <c:orientation val="minMax"/>
        </c:scaling>
        <c:delete val="1"/>
        <c:axPos val="l"/>
        <c:numFmt formatCode="General" sourceLinked="1"/>
        <c:majorTickMark val="none"/>
        <c:minorTickMark val="none"/>
        <c:tickLblPos val="nextTo"/>
        <c:crossAx val="20803613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2592592592592587E-2"/>
          <c:w val="1"/>
          <c:h val="0.90740740740740744"/>
        </c:manualLayout>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3-7943-4FA0-8D90-720EA4ABDA39}"/>
            </c:ext>
          </c:extLst>
        </c:ser>
        <c:dLbls>
          <c:showLegendKey val="0"/>
          <c:showVal val="0"/>
          <c:showCatName val="0"/>
          <c:showSerName val="0"/>
          <c:showPercent val="0"/>
          <c:showBubbleSize val="0"/>
        </c:dLbls>
        <c:axId val="592841967"/>
        <c:axId val="546700671"/>
      </c:areaChart>
      <c:catAx>
        <c:axId val="592841967"/>
        <c:scaling>
          <c:orientation val="minMax"/>
        </c:scaling>
        <c:delete val="1"/>
        <c:axPos val="b"/>
        <c:numFmt formatCode="General" sourceLinked="1"/>
        <c:majorTickMark val="out"/>
        <c:minorTickMark val="none"/>
        <c:tickLblPos val="nextTo"/>
        <c:crossAx val="546700671"/>
        <c:crosses val="autoZero"/>
        <c:auto val="1"/>
        <c:lblAlgn val="ctr"/>
        <c:lblOffset val="100"/>
        <c:noMultiLvlLbl val="0"/>
      </c:catAx>
      <c:valAx>
        <c:axId val="546700671"/>
        <c:scaling>
          <c:orientation val="minMax"/>
        </c:scaling>
        <c:delete val="1"/>
        <c:axPos val="l"/>
        <c:numFmt formatCode="0.00" sourceLinked="1"/>
        <c:majorTickMark val="none"/>
        <c:minorTickMark val="none"/>
        <c:tickLblPos val="nextTo"/>
        <c:crossAx val="592841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293643358840264E-2"/>
          <c:y val="0"/>
          <c:w val="0.80141271328231944"/>
          <c:h val="1"/>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3-9456-4271-875E-ADE0F3093B84}"/>
            </c:ext>
          </c:extLst>
        </c:ser>
        <c:dLbls>
          <c:showLegendKey val="0"/>
          <c:showVal val="0"/>
          <c:showCatName val="0"/>
          <c:showSerName val="0"/>
          <c:showPercent val="0"/>
          <c:showBubbleSize val="0"/>
        </c:dLbls>
        <c:axId val="822298527"/>
        <c:axId val="601350687"/>
      </c:areaChart>
      <c:catAx>
        <c:axId val="822298527"/>
        <c:scaling>
          <c:orientation val="minMax"/>
        </c:scaling>
        <c:delete val="1"/>
        <c:axPos val="b"/>
        <c:numFmt formatCode="General" sourceLinked="1"/>
        <c:majorTickMark val="out"/>
        <c:minorTickMark val="none"/>
        <c:tickLblPos val="nextTo"/>
        <c:crossAx val="601350687"/>
        <c:crosses val="autoZero"/>
        <c:auto val="1"/>
        <c:lblAlgn val="ctr"/>
        <c:lblOffset val="100"/>
        <c:noMultiLvlLbl val="0"/>
      </c:catAx>
      <c:valAx>
        <c:axId val="601350687"/>
        <c:scaling>
          <c:orientation val="minMax"/>
        </c:scaling>
        <c:delete val="1"/>
        <c:axPos val="l"/>
        <c:numFmt formatCode="0.00" sourceLinked="1"/>
        <c:majorTickMark val="none"/>
        <c:minorTickMark val="none"/>
        <c:tickLblPos val="nextTo"/>
        <c:crossAx val="822298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88916876574307E-2"/>
          <c:y val="2.5233233559405887E-2"/>
          <c:w val="0.92962216624685134"/>
          <c:h val="0.82638689625521067"/>
        </c:manualLayout>
      </c:layout>
      <c:barChart>
        <c:barDir val="col"/>
        <c:grouping val="clustered"/>
        <c:varyColors val="0"/>
        <c:ser>
          <c:idx val="0"/>
          <c:order val="0"/>
          <c:tx>
            <c:strRef>
              <c:f>'Pivot Report'!$B$51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Report'!$A$52:$A$60</c:f>
              <c:strCache>
                <c:ptCount val="8"/>
                <c:pt idx="0">
                  <c:v>0-9</c:v>
                </c:pt>
                <c:pt idx="1">
                  <c:v>10-19</c:v>
                </c:pt>
                <c:pt idx="2">
                  <c:v>20-29</c:v>
                </c:pt>
                <c:pt idx="3">
                  <c:v>30-39</c:v>
                </c:pt>
                <c:pt idx="4">
                  <c:v>40-49</c:v>
                </c:pt>
                <c:pt idx="5">
                  <c:v>50-59</c:v>
                </c:pt>
                <c:pt idx="6">
                  <c:v>60-69</c:v>
                </c:pt>
                <c:pt idx="7">
                  <c:v>70-79</c:v>
                </c:pt>
              </c:strCache>
            </c:strRef>
          </c:cat>
          <c:val>
            <c:numRef>
              <c:f>'Pivot Report'!$B$52:$B$60</c:f>
              <c:numCache>
                <c:formatCode>0.00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3-15FD-4B9B-9342-4B2BCAFCB8A3}"/>
            </c:ext>
          </c:extLst>
        </c:ser>
        <c:dLbls>
          <c:showLegendKey val="0"/>
          <c:showVal val="0"/>
          <c:showCatName val="0"/>
          <c:showSerName val="0"/>
          <c:showPercent val="0"/>
          <c:showBubbleSize val="0"/>
        </c:dLbls>
        <c:gapWidth val="219"/>
        <c:overlap val="-27"/>
        <c:axId val="136841104"/>
        <c:axId val="1967011551"/>
      </c:barChart>
      <c:catAx>
        <c:axId val="13684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967011551"/>
        <c:crosses val="autoZero"/>
        <c:auto val="1"/>
        <c:lblAlgn val="ctr"/>
        <c:lblOffset val="100"/>
        <c:noMultiLvlLbl val="0"/>
      </c:catAx>
      <c:valAx>
        <c:axId val="1967011551"/>
        <c:scaling>
          <c:orientation val="minMax"/>
        </c:scaling>
        <c:delete val="1"/>
        <c:axPos val="l"/>
        <c:numFmt formatCode="0.00" sourceLinked="1"/>
        <c:majorTickMark val="none"/>
        <c:minorTickMark val="none"/>
        <c:tickLblPos val="nextTo"/>
        <c:crossAx val="13684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[Excel_Project.xlsx]Pivot Report!PivotTable9</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2100154216931812E-2"/>
          <c:y val="0.1681341533560462"/>
          <c:w val="0.83952731841424844"/>
          <c:h val="0.82573250105515694"/>
        </c:manualLayout>
      </c:layout>
      <c:pieChart>
        <c:varyColors val="1"/>
        <c:ser>
          <c:idx val="0"/>
          <c:order val="0"/>
          <c:tx>
            <c:strRef>
              <c:f>'Pivot Report'!$B$64</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DA7-40BD-A36C-4C3E0400EC9D}"/>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DA7-40BD-A36C-4C3E0400EC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Report'!$A$65:$A$67</c:f>
              <c:strCache>
                <c:ptCount val="2"/>
                <c:pt idx="0">
                  <c:v>Delay</c:v>
                </c:pt>
                <c:pt idx="1">
                  <c:v>On Time</c:v>
                </c:pt>
              </c:strCache>
            </c:strRef>
          </c:cat>
          <c:val>
            <c:numRef>
              <c:f>'Pivot Report'!$B$65:$B$67</c:f>
              <c:numCache>
                <c:formatCode>0</c:formatCode>
                <c:ptCount val="2"/>
                <c:pt idx="0">
                  <c:v>288</c:v>
                </c:pt>
                <c:pt idx="1">
                  <c:v>200</c:v>
                </c:pt>
              </c:numCache>
            </c:numRef>
          </c:val>
          <c:extLst>
            <c:ext xmlns:c16="http://schemas.microsoft.com/office/drawing/2014/chart" uri="{C3380CC4-5D6E-409C-BE32-E72D297353CC}">
              <c16:uniqueId val="{00000007-CF84-4045-816D-CFF1F997F41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7.1568172562738258E-2"/>
          <c:y val="4.0868103181275171E-2"/>
          <c:w val="0.92843208618430628"/>
          <c:h val="0.157916100453558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[Excel_Project.xlsx]Pivot Report!PivotTable10</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c:spPr>
      </c:pivotFmt>
      <c:pivotFmt>
        <c:idx val="6"/>
        <c:spPr>
          <a:solidFill>
            <a:schemeClr val="accent1">
              <a:tint val="77000"/>
            </a:schemeClr>
          </a:solidFill>
          <a:ln>
            <a:noFill/>
          </a:ln>
          <a:effectLst/>
        </c:spPr>
      </c:pivotFmt>
    </c:pivotFmts>
    <c:plotArea>
      <c:layout>
        <c:manualLayout>
          <c:layoutTarget val="inner"/>
          <c:xMode val="edge"/>
          <c:yMode val="edge"/>
          <c:x val="9.8495754144763428E-2"/>
          <c:y val="0.1937362402128753"/>
          <c:w val="0.79955357864941357"/>
          <c:h val="0.77238245684758877"/>
        </c:manualLayout>
      </c:layout>
      <c:doughnutChart>
        <c:varyColors val="1"/>
        <c:ser>
          <c:idx val="0"/>
          <c:order val="0"/>
          <c:tx>
            <c:strRef>
              <c:f>'Pivot Report'!$B$70</c:f>
              <c:strCache>
                <c:ptCount val="1"/>
                <c:pt idx="0">
                  <c:v>Total</c:v>
                </c:pt>
              </c:strCache>
            </c:strRef>
          </c:tx>
          <c:spPr>
            <a:effectLst/>
          </c:spPr>
          <c:dPt>
            <c:idx val="0"/>
            <c:bubble3D val="0"/>
            <c:spPr>
              <a:solidFill>
                <a:schemeClr val="accent1">
                  <a:shade val="76000"/>
                </a:schemeClr>
              </a:solidFill>
              <a:ln>
                <a:noFill/>
              </a:ln>
              <a:effectLst/>
            </c:spPr>
            <c:extLst>
              <c:ext xmlns:c16="http://schemas.microsoft.com/office/drawing/2014/chart" uri="{C3380CC4-5D6E-409C-BE32-E72D297353CC}">
                <c16:uniqueId val="{00000001-133A-43B9-817B-3BC883BF2128}"/>
              </c:ext>
            </c:extLst>
          </c:dPt>
          <c:dPt>
            <c:idx val="1"/>
            <c:bubble3D val="0"/>
            <c:spPr>
              <a:solidFill>
                <a:schemeClr val="accent1">
                  <a:tint val="77000"/>
                </a:schemeClr>
              </a:solidFill>
              <a:ln>
                <a:noFill/>
              </a:ln>
              <a:effectLst/>
            </c:spPr>
            <c:extLst>
              <c:ext xmlns:c16="http://schemas.microsoft.com/office/drawing/2014/chart" uri="{C3380CC4-5D6E-409C-BE32-E72D297353CC}">
                <c16:uniqueId val="{00000003-133A-43B9-817B-3BC883BF21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Report'!$A$71:$A$73</c:f>
              <c:strCache>
                <c:ptCount val="2"/>
                <c:pt idx="0">
                  <c:v>Female</c:v>
                </c:pt>
                <c:pt idx="1">
                  <c:v>Male</c:v>
                </c:pt>
              </c:strCache>
            </c:strRef>
          </c:cat>
          <c:val>
            <c:numRef>
              <c:f>'Pivot Report'!$B$71:$B$73</c:f>
              <c:numCache>
                <c:formatCode>0</c:formatCode>
                <c:ptCount val="2"/>
                <c:pt idx="0">
                  <c:v>232</c:v>
                </c:pt>
                <c:pt idx="1">
                  <c:v>256</c:v>
                </c:pt>
              </c:numCache>
            </c:numRef>
          </c:val>
          <c:extLst>
            <c:ext xmlns:c16="http://schemas.microsoft.com/office/drawing/2014/chart" uri="{C3380CC4-5D6E-409C-BE32-E72D297353CC}">
              <c16:uniqueId val="{00000007-EA3D-4D14-B6B4-E9C16F93658A}"/>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2.4331920963208391E-3"/>
          <c:y val="3.3258724174674299E-2"/>
          <c:w val="0.99756664513897453"/>
          <c:h val="0.164265143236984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[Excel_Project.xlsx]Pivot Report!PivotTable11</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17237857708996"/>
          <c:y val="0.11971696407377033"/>
          <c:w val="0.72384894588849036"/>
          <c:h val="0.76219282973434155"/>
        </c:manualLayout>
      </c:layout>
      <c:barChart>
        <c:barDir val="bar"/>
        <c:grouping val="clustered"/>
        <c:varyColors val="0"/>
        <c:ser>
          <c:idx val="0"/>
          <c:order val="0"/>
          <c:tx>
            <c:strRef>
              <c:f>'Pivot Report'!$B$77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Report'!$A$78:$A$86</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Report'!$B$78:$B$86</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3-F0A3-4343-A75B-B41C67E7B5ED}"/>
            </c:ext>
          </c:extLst>
        </c:ser>
        <c:dLbls>
          <c:showLegendKey val="0"/>
          <c:showVal val="0"/>
          <c:showCatName val="0"/>
          <c:showSerName val="0"/>
          <c:showPercent val="0"/>
          <c:showBubbleSize val="0"/>
        </c:dLbls>
        <c:gapWidth val="52"/>
        <c:axId val="908497216"/>
        <c:axId val="745356384"/>
      </c:barChart>
      <c:catAx>
        <c:axId val="9084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745356384"/>
        <c:crosses val="autoZero"/>
        <c:auto val="1"/>
        <c:lblAlgn val="ctr"/>
        <c:lblOffset val="100"/>
        <c:noMultiLvlLbl val="0"/>
      </c:catAx>
      <c:valAx>
        <c:axId val="7453563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9084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Report!PivotTable5</c:name>
    <c:fmtId val="2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Area</a:t>
            </a:r>
            <a:r>
              <a:rPr lang="en-US" baseline="0"/>
              <a:t> Chart To show Busy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3-4C43-4925-A574-9AB9EF6A887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2841967"/>
        <c:axId val="546700671"/>
      </c:areaChart>
      <c:catAx>
        <c:axId val="5928419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546700671"/>
        <c:crosses val="autoZero"/>
        <c:auto val="1"/>
        <c:lblAlgn val="ctr"/>
        <c:lblOffset val="100"/>
        <c:noMultiLvlLbl val="0"/>
      </c:catAx>
      <c:valAx>
        <c:axId val="546700671"/>
        <c:scaling>
          <c:orientation val="minMax"/>
        </c:scaling>
        <c:delete val="1"/>
        <c:axPos val="l"/>
        <c:numFmt formatCode="0.00" sourceLinked="1"/>
        <c:majorTickMark val="out"/>
        <c:minorTickMark val="none"/>
        <c:tickLblPos val="nextTo"/>
        <c:crossAx val="592841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Report!PivotTable2</c:name>
    <c:fmtId val="1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03875919474432E-2"/>
          <c:y val="6.6292021050587596E-2"/>
          <c:w val="0.87519224816105112"/>
          <c:h val="0.50051206671378445"/>
        </c:manualLayout>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Report'!$D$5:$D$36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3-50A3-4BE9-AB2B-9588F5F7CD4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80361343"/>
        <c:axId val="1922088031"/>
      </c:areaChart>
      <c:catAx>
        <c:axId val="20803613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2088031"/>
        <c:crosses val="autoZero"/>
        <c:auto val="1"/>
        <c:lblAlgn val="ctr"/>
        <c:lblOffset val="100"/>
        <c:noMultiLvlLbl val="0"/>
      </c:catAx>
      <c:valAx>
        <c:axId val="1922088031"/>
        <c:scaling>
          <c:orientation val="minMax"/>
        </c:scaling>
        <c:delete val="1"/>
        <c:axPos val="l"/>
        <c:numFmt formatCode="General" sourceLinked="1"/>
        <c:majorTickMark val="out"/>
        <c:minorTickMark val="none"/>
        <c:tickLblPos val="nextTo"/>
        <c:crossAx val="20803613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18" Type="http://schemas.openxmlformats.org/officeDocument/2006/relationships/image" Target="../media/image10.emf"/><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A1"/><Relationship Id="rId17" Type="http://schemas.openxmlformats.org/officeDocument/2006/relationships/chart" Target="../charts/chart9.xml"/><Relationship Id="rId2" Type="http://schemas.openxmlformats.org/officeDocument/2006/relationships/image" Target="../media/image4.png"/><Relationship Id="rId16" Type="http://schemas.openxmlformats.org/officeDocument/2006/relationships/chart" Target="../charts/chart8.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7.xml"/><Relationship Id="rId10" Type="http://schemas.openxmlformats.org/officeDocument/2006/relationships/hyperlink" Target="#'Average WaitTime'!A1"/><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65918</xdr:colOff>
      <xdr:row>45</xdr:row>
      <xdr:rowOff>72473</xdr:rowOff>
    </xdr:from>
    <xdr:to>
      <xdr:col>2</xdr:col>
      <xdr:colOff>750455</xdr:colOff>
      <xdr:row>48</xdr:row>
      <xdr:rowOff>0</xdr:rowOff>
    </xdr:to>
    <xdr:graphicFrame macro="">
      <xdr:nvGraphicFramePr>
        <xdr:cNvPr id="6" name="Chart 5">
          <a:extLst>
            <a:ext uri="{FF2B5EF4-FFF2-40B4-BE49-F238E27FC236}">
              <a16:creationId xmlns:a16="http://schemas.microsoft.com/office/drawing/2014/main" id="{DB75C811-88D5-6678-F781-12ECA9A0C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359578</xdr:colOff>
      <xdr:row>14</xdr:row>
      <xdr:rowOff>46691</xdr:rowOff>
    </xdr:to>
    <xdr:graphicFrame macro="">
      <xdr:nvGraphicFramePr>
        <xdr:cNvPr id="2" name="Chart 1">
          <a:extLst>
            <a:ext uri="{FF2B5EF4-FFF2-40B4-BE49-F238E27FC236}">
              <a16:creationId xmlns:a16="http://schemas.microsoft.com/office/drawing/2014/main" id="{EF441766-5E70-4D8A-BD28-206F4406F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0.00169</cdr:x>
      <cdr:y>0.00358</cdr:y>
    </cdr:from>
    <cdr:to>
      <cdr:x>0.05462</cdr:x>
      <cdr:y>0.17013</cdr:y>
    </cdr:to>
    <cdr:pic>
      <cdr:nvPicPr>
        <cdr:cNvPr id="2" name="Graphic 1"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E7AD572-F560-D70E-711E-B65FD52CD89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989" y="9387"/>
          <a:ext cx="436954" cy="436954"/>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399983</xdr:colOff>
      <xdr:row>0</xdr:row>
      <xdr:rowOff>70295</xdr:rowOff>
    </xdr:from>
    <xdr:to>
      <xdr:col>8</xdr:col>
      <xdr:colOff>136445</xdr:colOff>
      <xdr:row>2</xdr:row>
      <xdr:rowOff>119775</xdr:rowOff>
    </xdr:to>
    <xdr:sp macro="" textlink="">
      <xdr:nvSpPr>
        <xdr:cNvPr id="2" name="Rectangle: Rounded Corners 1">
          <a:extLst>
            <a:ext uri="{FF2B5EF4-FFF2-40B4-BE49-F238E27FC236}">
              <a16:creationId xmlns:a16="http://schemas.microsoft.com/office/drawing/2014/main" id="{6338C6AF-4C1D-A5AA-8F41-AB1D3E2420D2}"/>
            </a:ext>
          </a:extLst>
        </xdr:cNvPr>
        <xdr:cNvSpPr/>
      </xdr:nvSpPr>
      <xdr:spPr>
        <a:xfrm>
          <a:off x="1008743" y="70295"/>
          <a:ext cx="3997785" cy="416835"/>
        </a:xfrm>
        <a:prstGeom prst="roundRect">
          <a:avLst/>
        </a:prstGeom>
        <a:solidFill>
          <a:schemeClr val="bg2"/>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41413</xdr:colOff>
      <xdr:row>0</xdr:row>
      <xdr:rowOff>70556</xdr:rowOff>
    </xdr:from>
    <xdr:to>
      <xdr:col>1</xdr:col>
      <xdr:colOff>331305</xdr:colOff>
      <xdr:row>17</xdr:row>
      <xdr:rowOff>5079</xdr:rowOff>
    </xdr:to>
    <xdr:sp macro="" textlink="">
      <xdr:nvSpPr>
        <xdr:cNvPr id="6" name="Rectangle: Rounded Corners 5">
          <a:extLst>
            <a:ext uri="{FF2B5EF4-FFF2-40B4-BE49-F238E27FC236}">
              <a16:creationId xmlns:a16="http://schemas.microsoft.com/office/drawing/2014/main" id="{2E9DC53D-2934-6E93-E349-8FFA7C11B9FB}"/>
            </a:ext>
          </a:extLst>
        </xdr:cNvPr>
        <xdr:cNvSpPr/>
      </xdr:nvSpPr>
      <xdr:spPr>
        <a:xfrm>
          <a:off x="41413" y="70556"/>
          <a:ext cx="897283" cy="3063509"/>
        </a:xfrm>
        <a:prstGeom prst="roundRect">
          <a:avLst>
            <a:gd name="adj" fmla="val 9527"/>
          </a:avLst>
        </a:prstGeom>
        <a:solidFill>
          <a:schemeClr val="bg2"/>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398844</xdr:colOff>
      <xdr:row>5</xdr:row>
      <xdr:rowOff>124788</xdr:rowOff>
    </xdr:from>
    <xdr:to>
      <xdr:col>8</xdr:col>
      <xdr:colOff>136285</xdr:colOff>
      <xdr:row>9</xdr:row>
      <xdr:rowOff>98450</xdr:rowOff>
    </xdr:to>
    <xdr:grpSp>
      <xdr:nvGrpSpPr>
        <xdr:cNvPr id="10" name="Group 9">
          <a:extLst>
            <a:ext uri="{FF2B5EF4-FFF2-40B4-BE49-F238E27FC236}">
              <a16:creationId xmlns:a16="http://schemas.microsoft.com/office/drawing/2014/main" id="{E42BA82E-22DF-4657-C1C1-283EBF30994B}"/>
            </a:ext>
          </a:extLst>
        </xdr:cNvPr>
        <xdr:cNvGrpSpPr/>
      </xdr:nvGrpSpPr>
      <xdr:grpSpPr>
        <a:xfrm>
          <a:off x="1006235" y="1045078"/>
          <a:ext cx="3989180" cy="709894"/>
          <a:chOff x="651494" y="515422"/>
          <a:chExt cx="1954481" cy="399968"/>
        </a:xfrm>
        <a:solidFill>
          <a:schemeClr val="bg2"/>
        </a:solidFill>
      </xdr:grpSpPr>
      <xdr:sp macro="" textlink="">
        <xdr:nvSpPr>
          <xdr:cNvPr id="7" name="Rectangle: Rounded Corners 6">
            <a:extLst>
              <a:ext uri="{FF2B5EF4-FFF2-40B4-BE49-F238E27FC236}">
                <a16:creationId xmlns:a16="http://schemas.microsoft.com/office/drawing/2014/main" id="{2B04991B-2B5F-0B0D-7009-3580C7548909}"/>
              </a:ext>
            </a:extLst>
          </xdr:cNvPr>
          <xdr:cNvSpPr/>
        </xdr:nvSpPr>
        <xdr:spPr>
          <a:xfrm>
            <a:off x="651494" y="515422"/>
            <a:ext cx="626753" cy="399968"/>
          </a:xfrm>
          <a:prstGeom prst="roundRect">
            <a:avLst>
              <a:gd name="adj" fmla="val 6296"/>
            </a:avLst>
          </a:prstGeom>
          <a:grp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8" name="Rectangle: Rounded Corners 7">
            <a:extLst>
              <a:ext uri="{FF2B5EF4-FFF2-40B4-BE49-F238E27FC236}">
                <a16:creationId xmlns:a16="http://schemas.microsoft.com/office/drawing/2014/main" id="{6886F4BD-5101-CE39-F2D0-89C3D84FC294}"/>
              </a:ext>
            </a:extLst>
          </xdr:cNvPr>
          <xdr:cNvSpPr/>
        </xdr:nvSpPr>
        <xdr:spPr>
          <a:xfrm>
            <a:off x="1315358" y="515422"/>
            <a:ext cx="626753" cy="399968"/>
          </a:xfrm>
          <a:prstGeom prst="roundRect">
            <a:avLst>
              <a:gd name="adj" fmla="val 6296"/>
            </a:avLst>
          </a:prstGeom>
          <a:grp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9" name="Rectangle: Rounded Corners 8">
            <a:extLst>
              <a:ext uri="{FF2B5EF4-FFF2-40B4-BE49-F238E27FC236}">
                <a16:creationId xmlns:a16="http://schemas.microsoft.com/office/drawing/2014/main" id="{0C9A794C-4D72-0B0E-5C66-5B9AE1B613B2}"/>
              </a:ext>
            </a:extLst>
          </xdr:cNvPr>
          <xdr:cNvSpPr/>
        </xdr:nvSpPr>
        <xdr:spPr>
          <a:xfrm>
            <a:off x="1979222" y="515422"/>
            <a:ext cx="626753" cy="399968"/>
          </a:xfrm>
          <a:prstGeom prst="roundRect">
            <a:avLst>
              <a:gd name="adj" fmla="val 6296"/>
            </a:avLst>
          </a:prstGeom>
          <a:grp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editAs="absolute">
    <xdr:from>
      <xdr:col>1</xdr:col>
      <xdr:colOff>399730</xdr:colOff>
      <xdr:row>9</xdr:row>
      <xdr:rowOff>161200</xdr:rowOff>
    </xdr:from>
    <xdr:to>
      <xdr:col>8</xdr:col>
      <xdr:colOff>156535</xdr:colOff>
      <xdr:row>15</xdr:row>
      <xdr:rowOff>105429</xdr:rowOff>
    </xdr:to>
    <xdr:sp macro="" textlink="">
      <xdr:nvSpPr>
        <xdr:cNvPr id="12" name="Rectangle: Rounded Corners 11">
          <a:extLst>
            <a:ext uri="{FF2B5EF4-FFF2-40B4-BE49-F238E27FC236}">
              <a16:creationId xmlns:a16="http://schemas.microsoft.com/office/drawing/2014/main" id="{8FE9850E-B53E-81AF-1F4D-9E631BCC13DF}"/>
            </a:ext>
          </a:extLst>
        </xdr:cNvPr>
        <xdr:cNvSpPr/>
      </xdr:nvSpPr>
      <xdr:spPr>
        <a:xfrm>
          <a:off x="1009828" y="1842082"/>
          <a:ext cx="4027491" cy="1064818"/>
        </a:xfrm>
        <a:prstGeom prst="roundRect">
          <a:avLst>
            <a:gd name="adj" fmla="val 11694"/>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229421</xdr:colOff>
      <xdr:row>0</xdr:row>
      <xdr:rowOff>82726</xdr:rowOff>
    </xdr:from>
    <xdr:to>
      <xdr:col>12</xdr:col>
      <xdr:colOff>400000</xdr:colOff>
      <xdr:row>8</xdr:row>
      <xdr:rowOff>111759</xdr:rowOff>
    </xdr:to>
    <xdr:sp macro="" textlink="">
      <xdr:nvSpPr>
        <xdr:cNvPr id="22" name="Rectangle: Rounded Corners 21">
          <a:extLst>
            <a:ext uri="{FF2B5EF4-FFF2-40B4-BE49-F238E27FC236}">
              <a16:creationId xmlns:a16="http://schemas.microsoft.com/office/drawing/2014/main" id="{828B0547-B847-3598-6F47-323B1EFC5193}"/>
            </a:ext>
          </a:extLst>
        </xdr:cNvPr>
        <xdr:cNvSpPr/>
      </xdr:nvSpPr>
      <xdr:spPr>
        <a:xfrm>
          <a:off x="5106221" y="82726"/>
          <a:ext cx="2608979" cy="1492073"/>
        </a:xfrm>
        <a:prstGeom prst="roundRect">
          <a:avLst>
            <a:gd name="adj" fmla="val 7130"/>
          </a:avLst>
        </a:prstGeom>
        <a:solidFill>
          <a:schemeClr val="bg2"/>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228637</xdr:colOff>
      <xdr:row>8</xdr:row>
      <xdr:rowOff>177800</xdr:rowOff>
    </xdr:from>
    <xdr:to>
      <xdr:col>12</xdr:col>
      <xdr:colOff>376417</xdr:colOff>
      <xdr:row>16</xdr:row>
      <xdr:rowOff>174512</xdr:rowOff>
    </xdr:to>
    <xdr:grpSp>
      <xdr:nvGrpSpPr>
        <xdr:cNvPr id="16" name="Group 15">
          <a:extLst>
            <a:ext uri="{FF2B5EF4-FFF2-40B4-BE49-F238E27FC236}">
              <a16:creationId xmlns:a16="http://schemas.microsoft.com/office/drawing/2014/main" id="{A6DCEFA9-B347-4F1C-15C4-1A1C14F10A8A}"/>
            </a:ext>
          </a:extLst>
        </xdr:cNvPr>
        <xdr:cNvGrpSpPr/>
      </xdr:nvGrpSpPr>
      <xdr:grpSpPr>
        <a:xfrm>
          <a:off x="5087767" y="1650264"/>
          <a:ext cx="2577346" cy="1469176"/>
          <a:chOff x="4633685" y="1484306"/>
          <a:chExt cx="2582794" cy="1239779"/>
        </a:xfrm>
        <a:solidFill>
          <a:schemeClr val="bg2"/>
        </a:solidFill>
      </xdr:grpSpPr>
      <xdr:sp macro="" textlink="">
        <xdr:nvSpPr>
          <xdr:cNvPr id="21" name="Rectangle: Rounded Corners 20">
            <a:extLst>
              <a:ext uri="{FF2B5EF4-FFF2-40B4-BE49-F238E27FC236}">
                <a16:creationId xmlns:a16="http://schemas.microsoft.com/office/drawing/2014/main" id="{C5D3E006-FB02-14C9-5A6C-726A76B6D904}"/>
              </a:ext>
            </a:extLst>
          </xdr:cNvPr>
          <xdr:cNvSpPr/>
        </xdr:nvSpPr>
        <xdr:spPr>
          <a:xfrm>
            <a:off x="4633685" y="1489879"/>
            <a:ext cx="1243277" cy="1234206"/>
          </a:xfrm>
          <a:prstGeom prst="roundRect">
            <a:avLst>
              <a:gd name="adj" fmla="val 7130"/>
            </a:avLst>
          </a:prstGeom>
          <a:grp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79CDB85C-BE85-0502-69ED-F8F3AFD6F8BD}"/>
              </a:ext>
            </a:extLst>
          </xdr:cNvPr>
          <xdr:cNvSpPr/>
        </xdr:nvSpPr>
        <xdr:spPr>
          <a:xfrm>
            <a:off x="5973203" y="1484306"/>
            <a:ext cx="1243276" cy="1234206"/>
          </a:xfrm>
          <a:prstGeom prst="roundRect">
            <a:avLst>
              <a:gd name="adj" fmla="val 7130"/>
            </a:avLst>
          </a:prstGeom>
          <a:grpFill/>
          <a:ln>
            <a:noFill/>
          </a:ln>
        </xdr:spPr>
        <xdr:style>
          <a:lnRef idx="0">
            <a:schemeClr val="accent1"/>
          </a:lnRef>
          <a:fillRef idx="3">
            <a:schemeClr val="accent1"/>
          </a:fillRef>
          <a:effectRef idx="3">
            <a:schemeClr val="accent1"/>
          </a:effectRef>
          <a:fontRef idx="minor">
            <a:schemeClr val="lt1"/>
          </a:fontRef>
        </xdr:style>
        <xdr:txBody>
          <a:bodyPr vertOverflow="clip" horzOverflow="clip" wrap="none" rtlCol="0" anchor="t"/>
          <a:lstStyle/>
          <a:p>
            <a:pPr algn="l"/>
            <a:endParaRPr lang="en-US" sz="1100"/>
          </a:p>
        </xdr:txBody>
      </xdr:sp>
    </xdr:grpSp>
    <xdr:clientData/>
  </xdr:twoCellAnchor>
  <xdr:twoCellAnchor editAs="absolute">
    <xdr:from>
      <xdr:col>2</xdr:col>
      <xdr:colOff>337168</xdr:colOff>
      <xdr:row>0</xdr:row>
      <xdr:rowOff>67526</xdr:rowOff>
    </xdr:from>
    <xdr:to>
      <xdr:col>7</xdr:col>
      <xdr:colOff>573185</xdr:colOff>
      <xdr:row>1</xdr:row>
      <xdr:rowOff>121771</xdr:rowOff>
    </xdr:to>
    <xdr:sp macro="" textlink="">
      <xdr:nvSpPr>
        <xdr:cNvPr id="17" name="TextBox 16">
          <a:extLst>
            <a:ext uri="{FF2B5EF4-FFF2-40B4-BE49-F238E27FC236}">
              <a16:creationId xmlns:a16="http://schemas.microsoft.com/office/drawing/2014/main" id="{7D664D65-79DF-1402-C598-3883BD867717}"/>
            </a:ext>
          </a:extLst>
        </xdr:cNvPr>
        <xdr:cNvSpPr txBox="1"/>
      </xdr:nvSpPr>
      <xdr:spPr>
        <a:xfrm>
          <a:off x="1550973" y="67526"/>
          <a:ext cx="3270531" cy="23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solidFill>
                <a:schemeClr val="tx1"/>
              </a:solidFill>
              <a:latin typeface="Times New Roman" panose="02020603050405020304" pitchFamily="18" charset="0"/>
              <a:cs typeface="Times New Roman" panose="02020603050405020304" pitchFamily="18" charset="0"/>
            </a:rPr>
            <a:t>Hospital</a:t>
          </a:r>
          <a:r>
            <a:rPr lang="en-US" sz="1400" b="1" baseline="0">
              <a:solidFill>
                <a:schemeClr val="tx1"/>
              </a:solidFill>
              <a:latin typeface="Times New Roman" panose="02020603050405020304" pitchFamily="18" charset="0"/>
              <a:cs typeface="Times New Roman" panose="02020603050405020304" pitchFamily="18" charset="0"/>
            </a:rPr>
            <a:t> Emergency Room Dashboard</a:t>
          </a:r>
          <a:endParaRPr lang="en-US"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277861</xdr:colOff>
      <xdr:row>0</xdr:row>
      <xdr:rowOff>16858</xdr:rowOff>
    </xdr:from>
    <xdr:to>
      <xdr:col>2</xdr:col>
      <xdr:colOff>591755</xdr:colOff>
      <xdr:row>2</xdr:row>
      <xdr:rowOff>162964</xdr:rowOff>
    </xdr:to>
    <xdr:pic>
      <xdr:nvPicPr>
        <xdr:cNvPr id="19" name="Picture 18">
          <a:extLst>
            <a:ext uri="{FF2B5EF4-FFF2-40B4-BE49-F238E27FC236}">
              <a16:creationId xmlns:a16="http://schemas.microsoft.com/office/drawing/2014/main" id="{374ED7D0-E198-677C-9825-EE4F5CBD57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764" y="16858"/>
          <a:ext cx="920796" cy="516991"/>
        </a:xfrm>
        <a:prstGeom prst="rect">
          <a:avLst/>
        </a:prstGeom>
      </xdr:spPr>
    </xdr:pic>
    <xdr:clientData/>
  </xdr:twoCellAnchor>
  <xdr:twoCellAnchor editAs="absolute">
    <xdr:from>
      <xdr:col>2</xdr:col>
      <xdr:colOff>360320</xdr:colOff>
      <xdr:row>1</xdr:row>
      <xdr:rowOff>85059</xdr:rowOff>
    </xdr:from>
    <xdr:to>
      <xdr:col>7</xdr:col>
      <xdr:colOff>596337</xdr:colOff>
      <xdr:row>2</xdr:row>
      <xdr:rowOff>139303</xdr:rowOff>
    </xdr:to>
    <xdr:sp macro="" textlink="">
      <xdr:nvSpPr>
        <xdr:cNvPr id="20" name="TextBox 19">
          <a:extLst>
            <a:ext uri="{FF2B5EF4-FFF2-40B4-BE49-F238E27FC236}">
              <a16:creationId xmlns:a16="http://schemas.microsoft.com/office/drawing/2014/main" id="{EF4D1A9F-8AB0-5BF0-6F92-C57A6EDDF08F}"/>
            </a:ext>
          </a:extLst>
        </xdr:cNvPr>
        <xdr:cNvSpPr txBox="1"/>
      </xdr:nvSpPr>
      <xdr:spPr>
        <a:xfrm>
          <a:off x="1574125" y="270501"/>
          <a:ext cx="3270531" cy="23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a:solidFill>
                <a:schemeClr val="tx1"/>
              </a:solidFill>
              <a:latin typeface="Times New Roman" panose="02020603050405020304" pitchFamily="18" charset="0"/>
              <a:cs typeface="Times New Roman" panose="02020603050405020304" pitchFamily="18" charset="0"/>
            </a:rPr>
            <a:t>Monthly</a:t>
          </a:r>
          <a:r>
            <a:rPr lang="en-US" sz="1100" b="1" baseline="0">
              <a:solidFill>
                <a:schemeClr val="tx1"/>
              </a:solidFill>
              <a:latin typeface="Times New Roman" panose="02020603050405020304" pitchFamily="18" charset="0"/>
              <a:cs typeface="Times New Roman" panose="02020603050405020304" pitchFamily="18" charset="0"/>
            </a:rPr>
            <a:t> Report</a:t>
          </a:r>
        </a:p>
      </xdr:txBody>
    </xdr:sp>
    <xdr:clientData/>
  </xdr:twoCellAnchor>
  <xdr:twoCellAnchor editAs="absolute">
    <xdr:from>
      <xdr:col>1</xdr:col>
      <xdr:colOff>410221</xdr:colOff>
      <xdr:row>7</xdr:row>
      <xdr:rowOff>29539</xdr:rowOff>
    </xdr:from>
    <xdr:to>
      <xdr:col>3</xdr:col>
      <xdr:colOff>449557</xdr:colOff>
      <xdr:row>8</xdr:row>
      <xdr:rowOff>83783</xdr:rowOff>
    </xdr:to>
    <xdr:sp macro="" textlink="">
      <xdr:nvSpPr>
        <xdr:cNvPr id="23" name="TextBox 22">
          <a:extLst>
            <a:ext uri="{FF2B5EF4-FFF2-40B4-BE49-F238E27FC236}">
              <a16:creationId xmlns:a16="http://schemas.microsoft.com/office/drawing/2014/main" id="{007795E3-B65C-AFEB-4DC0-3E0D98E7C4FD}"/>
            </a:ext>
          </a:extLst>
        </xdr:cNvPr>
        <xdr:cNvSpPr txBox="1"/>
      </xdr:nvSpPr>
      <xdr:spPr>
        <a:xfrm>
          <a:off x="1017124" y="1327636"/>
          <a:ext cx="1253141" cy="23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baseline="0">
              <a:solidFill>
                <a:schemeClr val="tx1"/>
              </a:solidFill>
              <a:latin typeface="Times New Roman" panose="02020603050405020304" pitchFamily="18" charset="0"/>
              <a:cs typeface="Times New Roman" panose="02020603050405020304" pitchFamily="18" charset="0"/>
            </a:rPr>
            <a:t>No. Of Patient</a:t>
          </a:r>
        </a:p>
      </xdr:txBody>
    </xdr:sp>
    <xdr:clientData/>
  </xdr:twoCellAnchor>
  <xdr:twoCellAnchor editAs="absolute">
    <xdr:from>
      <xdr:col>8</xdr:col>
      <xdr:colOff>514570</xdr:colOff>
      <xdr:row>7</xdr:row>
      <xdr:rowOff>65622</xdr:rowOff>
    </xdr:from>
    <xdr:to>
      <xdr:col>12</xdr:col>
      <xdr:colOff>388665</xdr:colOff>
      <xdr:row>8</xdr:row>
      <xdr:rowOff>119867</xdr:rowOff>
    </xdr:to>
    <xdr:sp macro="" textlink="">
      <xdr:nvSpPr>
        <xdr:cNvPr id="25" name="TextBox 24">
          <a:extLst>
            <a:ext uri="{FF2B5EF4-FFF2-40B4-BE49-F238E27FC236}">
              <a16:creationId xmlns:a16="http://schemas.microsoft.com/office/drawing/2014/main" id="{27BFDB12-D5D1-5600-29D9-4A099D2E6D66}"/>
            </a:ext>
          </a:extLst>
        </xdr:cNvPr>
        <xdr:cNvSpPr txBox="1"/>
      </xdr:nvSpPr>
      <xdr:spPr>
        <a:xfrm>
          <a:off x="5375604" y="1368467"/>
          <a:ext cx="2304613" cy="240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0" baseline="0">
              <a:solidFill>
                <a:schemeClr val="tx1"/>
              </a:solidFill>
              <a:latin typeface="Times New Roman" panose="02020603050405020304" pitchFamily="18" charset="0"/>
              <a:cs typeface="Times New Roman" panose="02020603050405020304" pitchFamily="18" charset="0"/>
            </a:rPr>
            <a:t>No. of Patients By Department Referal</a:t>
          </a:r>
        </a:p>
      </xdr:txBody>
    </xdr:sp>
    <xdr:clientData/>
  </xdr:twoCellAnchor>
  <xdr:twoCellAnchor editAs="absolute">
    <xdr:from>
      <xdr:col>1</xdr:col>
      <xdr:colOff>401533</xdr:colOff>
      <xdr:row>6</xdr:row>
      <xdr:rowOff>27278</xdr:rowOff>
    </xdr:from>
    <xdr:to>
      <xdr:col>3</xdr:col>
      <xdr:colOff>440869</xdr:colOff>
      <xdr:row>7</xdr:row>
      <xdr:rowOff>81523</xdr:rowOff>
    </xdr:to>
    <xdr:sp macro="" textlink="'Pivot Report'!A5">
      <xdr:nvSpPr>
        <xdr:cNvPr id="27" name="TextBox 26">
          <a:extLst>
            <a:ext uri="{FF2B5EF4-FFF2-40B4-BE49-F238E27FC236}">
              <a16:creationId xmlns:a16="http://schemas.microsoft.com/office/drawing/2014/main" id="{C0E93E16-D523-C206-973B-61A71B68459C}"/>
            </a:ext>
          </a:extLst>
        </xdr:cNvPr>
        <xdr:cNvSpPr txBox="1"/>
      </xdr:nvSpPr>
      <xdr:spPr>
        <a:xfrm>
          <a:off x="1010987" y="1122106"/>
          <a:ext cx="1258244" cy="236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FEB6618-37A0-4BB6-A2D3-B6B7601EE83C}" type="TxLink">
            <a:rPr lang="en-US" sz="1100" b="1" i="0" u="none" strike="noStrike" baseline="0">
              <a:solidFill>
                <a:schemeClr val="tx1"/>
              </a:solidFill>
              <a:latin typeface="Aptos Narrow"/>
              <a:cs typeface="Times New Roman" panose="02020603050405020304" pitchFamily="18" charset="0"/>
            </a:rPr>
            <a:pPr algn="ctr"/>
            <a:t>488</a:t>
          </a:fld>
          <a:endParaRPr lang="en-US" sz="1100" b="1"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556327</xdr:colOff>
      <xdr:row>7</xdr:row>
      <xdr:rowOff>29539</xdr:rowOff>
    </xdr:from>
    <xdr:to>
      <xdr:col>5</xdr:col>
      <xdr:colOff>595663</xdr:colOff>
      <xdr:row>8</xdr:row>
      <xdr:rowOff>83783</xdr:rowOff>
    </xdr:to>
    <xdr:sp macro="" textlink="">
      <xdr:nvSpPr>
        <xdr:cNvPr id="28" name="TextBox 27">
          <a:extLst>
            <a:ext uri="{FF2B5EF4-FFF2-40B4-BE49-F238E27FC236}">
              <a16:creationId xmlns:a16="http://schemas.microsoft.com/office/drawing/2014/main" id="{902331C6-348A-244D-C349-354C3265987E}"/>
            </a:ext>
          </a:extLst>
        </xdr:cNvPr>
        <xdr:cNvSpPr txBox="1"/>
      </xdr:nvSpPr>
      <xdr:spPr>
        <a:xfrm>
          <a:off x="2377035" y="1327636"/>
          <a:ext cx="1253141" cy="23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baseline="0">
              <a:solidFill>
                <a:schemeClr val="tx1"/>
              </a:solidFill>
              <a:latin typeface="Times New Roman" panose="02020603050405020304" pitchFamily="18" charset="0"/>
              <a:cs typeface="Times New Roman" panose="02020603050405020304" pitchFamily="18" charset="0"/>
            </a:rPr>
            <a:t>Average Wait Time</a:t>
          </a:r>
        </a:p>
      </xdr:txBody>
    </xdr:sp>
    <xdr:clientData/>
  </xdr:twoCellAnchor>
  <xdr:twoCellAnchor editAs="absolute">
    <xdr:from>
      <xdr:col>3</xdr:col>
      <xdr:colOff>573185</xdr:colOff>
      <xdr:row>6</xdr:row>
      <xdr:rowOff>12680</xdr:rowOff>
    </xdr:from>
    <xdr:to>
      <xdr:col>6</xdr:col>
      <xdr:colOff>5618</xdr:colOff>
      <xdr:row>7</xdr:row>
      <xdr:rowOff>66925</xdr:rowOff>
    </xdr:to>
    <xdr:sp macro="" textlink="'Pivot Report'!A11">
      <xdr:nvSpPr>
        <xdr:cNvPr id="29" name="TextBox 28">
          <a:extLst>
            <a:ext uri="{FF2B5EF4-FFF2-40B4-BE49-F238E27FC236}">
              <a16:creationId xmlns:a16="http://schemas.microsoft.com/office/drawing/2014/main" id="{0C093DD9-9FEA-9A2D-D0E4-9CFDA080FE19}"/>
            </a:ext>
          </a:extLst>
        </xdr:cNvPr>
        <xdr:cNvSpPr txBox="1"/>
      </xdr:nvSpPr>
      <xdr:spPr>
        <a:xfrm>
          <a:off x="2393893" y="1125335"/>
          <a:ext cx="1253141" cy="23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B82977B-A9F7-4A62-9EC4-3DC8534D38E9}" type="TxLink">
            <a:rPr lang="en-US" sz="1100" b="1" i="0" u="none" strike="noStrike" baseline="0">
              <a:solidFill>
                <a:schemeClr val="tx1"/>
              </a:solidFill>
              <a:latin typeface="Aptos Narrow"/>
              <a:cs typeface="Times New Roman" panose="02020603050405020304" pitchFamily="18" charset="0"/>
            </a:rPr>
            <a:pPr algn="ctr"/>
            <a:t>35.20</a:t>
          </a:fld>
          <a:endParaRPr lang="en-US" sz="1100" b="1"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absolute">
    <xdr:from>
      <xdr:col>6</xdr:col>
      <xdr:colOff>84292</xdr:colOff>
      <xdr:row>7</xdr:row>
      <xdr:rowOff>29539</xdr:rowOff>
    </xdr:from>
    <xdr:to>
      <xdr:col>8</xdr:col>
      <xdr:colOff>123628</xdr:colOff>
      <xdr:row>8</xdr:row>
      <xdr:rowOff>61814</xdr:rowOff>
    </xdr:to>
    <xdr:sp macro="" textlink="">
      <xdr:nvSpPr>
        <xdr:cNvPr id="30" name="TextBox 29">
          <a:extLst>
            <a:ext uri="{FF2B5EF4-FFF2-40B4-BE49-F238E27FC236}">
              <a16:creationId xmlns:a16="http://schemas.microsoft.com/office/drawing/2014/main" id="{EDF4CB50-8A41-3324-534F-64C09675279F}"/>
            </a:ext>
          </a:extLst>
        </xdr:cNvPr>
        <xdr:cNvSpPr txBox="1"/>
      </xdr:nvSpPr>
      <xdr:spPr>
        <a:xfrm>
          <a:off x="3725708" y="1327636"/>
          <a:ext cx="1253141" cy="217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baseline="0">
              <a:solidFill>
                <a:schemeClr val="tx1"/>
              </a:solidFill>
              <a:latin typeface="Times New Roman" panose="02020603050405020304" pitchFamily="18" charset="0"/>
              <a:cs typeface="Times New Roman" panose="02020603050405020304" pitchFamily="18" charset="0"/>
            </a:rPr>
            <a:t>Patient Satisfaction Score</a:t>
          </a:r>
        </a:p>
      </xdr:txBody>
    </xdr:sp>
    <xdr:clientData/>
  </xdr:twoCellAnchor>
  <xdr:twoCellAnchor editAs="absolute">
    <xdr:from>
      <xdr:col>6</xdr:col>
      <xdr:colOff>101150</xdr:colOff>
      <xdr:row>6</xdr:row>
      <xdr:rowOff>12680</xdr:rowOff>
    </xdr:from>
    <xdr:to>
      <xdr:col>8</xdr:col>
      <xdr:colOff>140486</xdr:colOff>
      <xdr:row>7</xdr:row>
      <xdr:rowOff>66925</xdr:rowOff>
    </xdr:to>
    <xdr:sp macro="" textlink="'Pivot Report'!A16">
      <xdr:nvSpPr>
        <xdr:cNvPr id="31" name="TextBox 30">
          <a:extLst>
            <a:ext uri="{FF2B5EF4-FFF2-40B4-BE49-F238E27FC236}">
              <a16:creationId xmlns:a16="http://schemas.microsoft.com/office/drawing/2014/main" id="{2E188AAA-7C22-7B43-33E1-F4B947E53C51}"/>
            </a:ext>
          </a:extLst>
        </xdr:cNvPr>
        <xdr:cNvSpPr txBox="1"/>
      </xdr:nvSpPr>
      <xdr:spPr>
        <a:xfrm>
          <a:off x="3742566" y="1125335"/>
          <a:ext cx="1253141" cy="239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1485C94-6847-4C04-85E3-8B8FBE961EEF}" type="TxLink">
            <a:rPr lang="en-US" sz="1100" b="1" i="0" u="none" strike="noStrike" baseline="0">
              <a:solidFill>
                <a:schemeClr val="tx1"/>
              </a:solidFill>
              <a:latin typeface="Aptos Narrow"/>
              <a:cs typeface="Times New Roman" panose="02020603050405020304" pitchFamily="18" charset="0"/>
            </a:rPr>
            <a:pPr algn="ctr"/>
            <a:t>4.79</a:t>
          </a:fld>
          <a:endParaRPr lang="en-US" sz="1100" b="1"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5</xdr:col>
      <xdr:colOff>411256</xdr:colOff>
      <xdr:row>5</xdr:row>
      <xdr:rowOff>171072</xdr:rowOff>
    </xdr:from>
    <xdr:to>
      <xdr:col>5</xdr:col>
      <xdr:colOff>602488</xdr:colOff>
      <xdr:row>6</xdr:row>
      <xdr:rowOff>177099</xdr:rowOff>
    </xdr:to>
    <xdr:pic>
      <xdr:nvPicPr>
        <xdr:cNvPr id="33" name="Graphic 32" descr="Hourglass 60% with solid fill">
          <a:extLst>
            <a:ext uri="{FF2B5EF4-FFF2-40B4-BE49-F238E27FC236}">
              <a16:creationId xmlns:a16="http://schemas.microsoft.com/office/drawing/2014/main" id="{DB94A8A4-5D28-0CF3-80A1-3294DC71D40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458526" y="1083428"/>
          <a:ext cx="191232" cy="188499"/>
        </a:xfrm>
        <a:prstGeom prst="rect">
          <a:avLst/>
        </a:prstGeom>
      </xdr:spPr>
    </xdr:pic>
    <xdr:clientData/>
  </xdr:twoCellAnchor>
  <xdr:twoCellAnchor editAs="oneCell">
    <xdr:from>
      <xdr:col>7</xdr:col>
      <xdr:colOff>495498</xdr:colOff>
      <xdr:row>5</xdr:row>
      <xdr:rowOff>147449</xdr:rowOff>
    </xdr:from>
    <xdr:to>
      <xdr:col>8</xdr:col>
      <xdr:colOff>75839</xdr:colOff>
      <xdr:row>6</xdr:row>
      <xdr:rowOff>149627</xdr:rowOff>
    </xdr:to>
    <xdr:pic>
      <xdr:nvPicPr>
        <xdr:cNvPr id="35" name="Graphic 34" descr="Rating with solid fill">
          <a:extLst>
            <a:ext uri="{FF2B5EF4-FFF2-40B4-BE49-F238E27FC236}">
              <a16:creationId xmlns:a16="http://schemas.microsoft.com/office/drawing/2014/main" id="{9B6CB185-034B-287A-5581-D2351D51B43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761676" y="1059805"/>
          <a:ext cx="189795" cy="184650"/>
        </a:xfrm>
        <a:prstGeom prst="rect">
          <a:avLst/>
        </a:prstGeom>
      </xdr:spPr>
    </xdr:pic>
    <xdr:clientData/>
  </xdr:twoCellAnchor>
  <xdr:twoCellAnchor editAs="oneCell">
    <xdr:from>
      <xdr:col>3</xdr:col>
      <xdr:colOff>203454</xdr:colOff>
      <xdr:row>5</xdr:row>
      <xdr:rowOff>137051</xdr:rowOff>
    </xdr:from>
    <xdr:to>
      <xdr:col>3</xdr:col>
      <xdr:colOff>420732</xdr:colOff>
      <xdr:row>6</xdr:row>
      <xdr:rowOff>167873</xdr:rowOff>
    </xdr:to>
    <xdr:pic>
      <xdr:nvPicPr>
        <xdr:cNvPr id="37" name="Graphic 36" descr="Male profile with solid fill">
          <a:extLst>
            <a:ext uri="{FF2B5EF4-FFF2-40B4-BE49-F238E27FC236}">
              <a16:creationId xmlns:a16="http://schemas.microsoft.com/office/drawing/2014/main" id="{62A8D7F2-FB0E-A66C-94EF-368082F3590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31816" y="1049407"/>
          <a:ext cx="217278" cy="213294"/>
        </a:xfrm>
        <a:prstGeom prst="rect">
          <a:avLst/>
        </a:prstGeom>
      </xdr:spPr>
    </xdr:pic>
    <xdr:clientData/>
  </xdr:twoCellAnchor>
  <xdr:twoCellAnchor editAs="oneCell">
    <xdr:from>
      <xdr:col>0</xdr:col>
      <xdr:colOff>86102</xdr:colOff>
      <xdr:row>2</xdr:row>
      <xdr:rowOff>35943</xdr:rowOff>
    </xdr:from>
    <xdr:to>
      <xdr:col>1</xdr:col>
      <xdr:colOff>274320</xdr:colOff>
      <xdr:row>16</xdr:row>
      <xdr:rowOff>173726</xdr:rowOff>
    </xdr:to>
    <mc:AlternateContent xmlns:mc="http://schemas.openxmlformats.org/markup-compatibility/2006" xmlns:a14="http://schemas.microsoft.com/office/drawing/2010/main">
      <mc:Choice Requires="a14">
        <xdr:graphicFrame macro="">
          <xdr:nvGraphicFramePr>
            <xdr:cNvPr id="38" name="Date (Month)">
              <a:extLst>
                <a:ext uri="{FF2B5EF4-FFF2-40B4-BE49-F238E27FC236}">
                  <a16:creationId xmlns:a16="http://schemas.microsoft.com/office/drawing/2014/main" id="{4D131E9A-85A3-4AF5-A69D-8B0FB08E4D4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6102" y="400480"/>
              <a:ext cx="799699" cy="2689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341173</xdr:colOff>
      <xdr:row>7</xdr:row>
      <xdr:rowOff>83553</xdr:rowOff>
    </xdr:from>
    <xdr:to>
      <xdr:col>3</xdr:col>
      <xdr:colOff>490531</xdr:colOff>
      <xdr:row>9</xdr:row>
      <xdr:rowOff>105834</xdr:rowOff>
    </xdr:to>
    <xdr:graphicFrame macro="">
      <xdr:nvGraphicFramePr>
        <xdr:cNvPr id="3" name="Chart 2">
          <a:hlinkClick xmlns:r="http://schemas.openxmlformats.org/officeDocument/2006/relationships" r:id="rId8"/>
          <a:extLst>
            <a:ext uri="{FF2B5EF4-FFF2-40B4-BE49-F238E27FC236}">
              <a16:creationId xmlns:a16="http://schemas.microsoft.com/office/drawing/2014/main" id="{D8A6C94F-3C26-471E-B7F9-24FDF87B6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568960</xdr:colOff>
      <xdr:row>8</xdr:row>
      <xdr:rowOff>36634</xdr:rowOff>
    </xdr:from>
    <xdr:to>
      <xdr:col>5</xdr:col>
      <xdr:colOff>588189</xdr:colOff>
      <xdr:row>9</xdr:row>
      <xdr:rowOff>76200</xdr:rowOff>
    </xdr:to>
    <xdr:graphicFrame macro="">
      <xdr:nvGraphicFramePr>
        <xdr:cNvPr id="4" name="Chart 3">
          <a:hlinkClick xmlns:r="http://schemas.openxmlformats.org/officeDocument/2006/relationships" r:id="rId10"/>
          <a:extLst>
            <a:ext uri="{FF2B5EF4-FFF2-40B4-BE49-F238E27FC236}">
              <a16:creationId xmlns:a16="http://schemas.microsoft.com/office/drawing/2014/main" id="{5E379A2D-6F0B-4BA9-BB88-CEBD78687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558184</xdr:colOff>
      <xdr:row>7</xdr:row>
      <xdr:rowOff>150608</xdr:rowOff>
    </xdr:from>
    <xdr:to>
      <xdr:col>8</xdr:col>
      <xdr:colOff>258477</xdr:colOff>
      <xdr:row>9</xdr:row>
      <xdr:rowOff>81933</xdr:rowOff>
    </xdr:to>
    <xdr:graphicFrame macro="">
      <xdr:nvGraphicFramePr>
        <xdr:cNvPr id="14" name="Chart 13">
          <a:hlinkClick xmlns:r="http://schemas.openxmlformats.org/officeDocument/2006/relationships" r:id="rId12"/>
          <a:extLst>
            <a:ext uri="{FF2B5EF4-FFF2-40B4-BE49-F238E27FC236}">
              <a16:creationId xmlns:a16="http://schemas.microsoft.com/office/drawing/2014/main" id="{2D750E55-83CD-4ED6-8369-D6F891530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xdr:col>
      <xdr:colOff>391821</xdr:colOff>
      <xdr:row>9</xdr:row>
      <xdr:rowOff>141112</xdr:rowOff>
    </xdr:from>
    <xdr:to>
      <xdr:col>8</xdr:col>
      <xdr:colOff>155000</xdr:colOff>
      <xdr:row>16</xdr:row>
      <xdr:rowOff>167641</xdr:rowOff>
    </xdr:to>
    <xdr:sp macro="" textlink="">
      <xdr:nvSpPr>
        <xdr:cNvPr id="32" name="Rectangle: Rounded Corners 31">
          <a:extLst>
            <a:ext uri="{FF2B5EF4-FFF2-40B4-BE49-F238E27FC236}">
              <a16:creationId xmlns:a16="http://schemas.microsoft.com/office/drawing/2014/main" id="{7626CCC8-E521-B3F1-535A-DED516CD3CE6}"/>
            </a:ext>
          </a:extLst>
        </xdr:cNvPr>
        <xdr:cNvSpPr/>
      </xdr:nvSpPr>
      <xdr:spPr>
        <a:xfrm>
          <a:off x="1003302" y="1781529"/>
          <a:ext cx="4043550" cy="1302408"/>
        </a:xfrm>
        <a:prstGeom prst="roundRect">
          <a:avLst>
            <a:gd name="adj" fmla="val 7491"/>
          </a:avLst>
        </a:prstGeom>
        <a:solidFill>
          <a:schemeClr val="bg2"/>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410000</xdr:colOff>
      <xdr:row>9</xdr:row>
      <xdr:rowOff>176695</xdr:rowOff>
    </xdr:from>
    <xdr:to>
      <xdr:col>8</xdr:col>
      <xdr:colOff>110000</xdr:colOff>
      <xdr:row>15</xdr:row>
      <xdr:rowOff>175173</xdr:rowOff>
    </xdr:to>
    <xdr:graphicFrame macro="">
      <xdr:nvGraphicFramePr>
        <xdr:cNvPr id="34" name="Chart 33">
          <a:extLst>
            <a:ext uri="{FF2B5EF4-FFF2-40B4-BE49-F238E27FC236}">
              <a16:creationId xmlns:a16="http://schemas.microsoft.com/office/drawing/2014/main" id="{F0AA1925-369B-46D2-835A-844A04470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119355</xdr:colOff>
      <xdr:row>15</xdr:row>
      <xdr:rowOff>180001</xdr:rowOff>
    </xdr:from>
    <xdr:to>
      <xdr:col>6</xdr:col>
      <xdr:colOff>320692</xdr:colOff>
      <xdr:row>17</xdr:row>
      <xdr:rowOff>40561</xdr:rowOff>
    </xdr:to>
    <xdr:sp macro="" textlink="">
      <xdr:nvSpPr>
        <xdr:cNvPr id="39" name="TextBox 26">
          <a:extLst>
            <a:ext uri="{FF2B5EF4-FFF2-40B4-BE49-F238E27FC236}">
              <a16:creationId xmlns:a16="http://schemas.microsoft.com/office/drawing/2014/main" id="{737E201E-D1E2-CF52-C266-039F8E1BA0B4}"/>
            </a:ext>
          </a:extLst>
        </xdr:cNvPr>
        <xdr:cNvSpPr txBox="1"/>
      </xdr:nvSpPr>
      <xdr:spPr>
        <a:xfrm>
          <a:off x="1942243" y="2971811"/>
          <a:ext cx="2024225" cy="23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0" baseline="0">
              <a:solidFill>
                <a:schemeClr val="tx1"/>
              </a:solidFill>
              <a:latin typeface="Times New Roman" panose="02020603050405020304" pitchFamily="18" charset="0"/>
              <a:cs typeface="Times New Roman" panose="02020603050405020304" pitchFamily="18" charset="0"/>
            </a:rPr>
            <a:t>No. of Patients By Age Group</a:t>
          </a:r>
        </a:p>
      </xdr:txBody>
    </xdr:sp>
    <xdr:clientData/>
  </xdr:twoCellAnchor>
  <xdr:twoCellAnchor>
    <xdr:from>
      <xdr:col>8</xdr:col>
      <xdr:colOff>286383</xdr:colOff>
      <xdr:row>9</xdr:row>
      <xdr:rowOff>5080</xdr:rowOff>
    </xdr:from>
    <xdr:to>
      <xdr:col>10</xdr:col>
      <xdr:colOff>265495</xdr:colOff>
      <xdr:row>15</xdr:row>
      <xdr:rowOff>158055</xdr:rowOff>
    </xdr:to>
    <xdr:graphicFrame macro="">
      <xdr:nvGraphicFramePr>
        <xdr:cNvPr id="40" name="Chart 39">
          <a:extLst>
            <a:ext uri="{FF2B5EF4-FFF2-40B4-BE49-F238E27FC236}">
              <a16:creationId xmlns:a16="http://schemas.microsoft.com/office/drawing/2014/main" id="{9A744982-9E3C-4D7B-A938-FBDAFD399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196752</xdr:colOff>
      <xdr:row>15</xdr:row>
      <xdr:rowOff>153668</xdr:rowOff>
    </xdr:from>
    <xdr:to>
      <xdr:col>10</xdr:col>
      <xdr:colOff>236088</xdr:colOff>
      <xdr:row>17</xdr:row>
      <xdr:rowOff>25031</xdr:rowOff>
    </xdr:to>
    <xdr:sp macro="" textlink="">
      <xdr:nvSpPr>
        <xdr:cNvPr id="46" name="TextBox 45">
          <a:extLst>
            <a:ext uri="{FF2B5EF4-FFF2-40B4-BE49-F238E27FC236}">
              <a16:creationId xmlns:a16="http://schemas.microsoft.com/office/drawing/2014/main" id="{CA19DBDC-1EE2-7191-2262-B3ACD20C60B0}"/>
            </a:ext>
          </a:extLst>
        </xdr:cNvPr>
        <xdr:cNvSpPr txBox="1"/>
      </xdr:nvSpPr>
      <xdr:spPr>
        <a:xfrm>
          <a:off x="5073552" y="2896868"/>
          <a:ext cx="1258536" cy="237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baseline="0">
              <a:solidFill>
                <a:schemeClr val="tx1"/>
              </a:solidFill>
              <a:latin typeface="Times New Roman" panose="02020603050405020304" pitchFamily="18" charset="0"/>
              <a:cs typeface="Times New Roman" panose="02020603050405020304" pitchFamily="18" charset="0"/>
            </a:rPr>
            <a:t>Patient Attend Status</a:t>
          </a:r>
        </a:p>
      </xdr:txBody>
    </xdr:sp>
    <xdr:clientData/>
  </xdr:twoCellAnchor>
  <xdr:twoCellAnchor>
    <xdr:from>
      <xdr:col>10</xdr:col>
      <xdr:colOff>359268</xdr:colOff>
      <xdr:row>8</xdr:row>
      <xdr:rowOff>162561</xdr:rowOff>
    </xdr:from>
    <xdr:to>
      <xdr:col>12</xdr:col>
      <xdr:colOff>376568</xdr:colOff>
      <xdr:row>15</xdr:row>
      <xdr:rowOff>162399</xdr:rowOff>
    </xdr:to>
    <xdr:graphicFrame macro="">
      <xdr:nvGraphicFramePr>
        <xdr:cNvPr id="47" name="Chart 46">
          <a:extLst>
            <a:ext uri="{FF2B5EF4-FFF2-40B4-BE49-F238E27FC236}">
              <a16:creationId xmlns:a16="http://schemas.microsoft.com/office/drawing/2014/main" id="{C5C78643-CF4E-4F88-8E81-2A973640E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343476</xdr:colOff>
      <xdr:row>15</xdr:row>
      <xdr:rowOff>164020</xdr:rowOff>
    </xdr:from>
    <xdr:to>
      <xdr:col>12</xdr:col>
      <xdr:colOff>371487</xdr:colOff>
      <xdr:row>16</xdr:row>
      <xdr:rowOff>160643</xdr:rowOff>
    </xdr:to>
    <xdr:sp macro="" textlink="">
      <xdr:nvSpPr>
        <xdr:cNvPr id="48" name="TextBox 47">
          <a:extLst>
            <a:ext uri="{FF2B5EF4-FFF2-40B4-BE49-F238E27FC236}">
              <a16:creationId xmlns:a16="http://schemas.microsoft.com/office/drawing/2014/main" id="{2B7FF615-1492-4383-9BED-96EAA3FC7493}"/>
            </a:ext>
          </a:extLst>
        </xdr:cNvPr>
        <xdr:cNvSpPr txBox="1"/>
      </xdr:nvSpPr>
      <xdr:spPr>
        <a:xfrm>
          <a:off x="6439476" y="2907220"/>
          <a:ext cx="1247211" cy="179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b="0" baseline="0">
              <a:solidFill>
                <a:schemeClr val="tx1"/>
              </a:solidFill>
              <a:latin typeface="Times New Roman" panose="02020603050405020304" pitchFamily="18" charset="0"/>
              <a:cs typeface="Times New Roman" panose="02020603050405020304" pitchFamily="18" charset="0"/>
            </a:rPr>
            <a:t>%age of Patient by Gender</a:t>
          </a:r>
        </a:p>
      </xdr:txBody>
    </xdr:sp>
    <xdr:clientData/>
  </xdr:twoCellAnchor>
  <xdr:twoCellAnchor>
    <xdr:from>
      <xdr:col>8</xdr:col>
      <xdr:colOff>243907</xdr:colOff>
      <xdr:row>0</xdr:row>
      <xdr:rowOff>88310</xdr:rowOff>
    </xdr:from>
    <xdr:to>
      <xdr:col>12</xdr:col>
      <xdr:colOff>382682</xdr:colOff>
      <xdr:row>7</xdr:row>
      <xdr:rowOff>71119</xdr:rowOff>
    </xdr:to>
    <xdr:graphicFrame macro="">
      <xdr:nvGraphicFramePr>
        <xdr:cNvPr id="13" name="Chart 12">
          <a:extLst>
            <a:ext uri="{FF2B5EF4-FFF2-40B4-BE49-F238E27FC236}">
              <a16:creationId xmlns:a16="http://schemas.microsoft.com/office/drawing/2014/main" id="{3E29688A-3D7C-4794-BC5A-97AD4C57C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0</xdr:col>
      <xdr:colOff>69021</xdr:colOff>
      <xdr:row>0</xdr:row>
      <xdr:rowOff>118686</xdr:rowOff>
    </xdr:from>
    <xdr:to>
      <xdr:col>1</xdr:col>
      <xdr:colOff>311079</xdr:colOff>
      <xdr:row>2</xdr:row>
      <xdr:rowOff>86668</xdr:rowOff>
    </xdr:to>
    <mc:AlternateContent xmlns:mc="http://schemas.openxmlformats.org/markup-compatibility/2006" xmlns:a14="http://schemas.microsoft.com/office/drawing/2010/main">
      <mc:Choice Requires="a14">
        <xdr:graphicFrame macro="">
          <xdr:nvGraphicFramePr>
            <xdr:cNvPr id="15" name="Date (Year)">
              <a:extLst>
                <a:ext uri="{FF2B5EF4-FFF2-40B4-BE49-F238E27FC236}">
                  <a16:creationId xmlns:a16="http://schemas.microsoft.com/office/drawing/2014/main" id="{D75E9630-82DF-48CD-8DD8-707BBBEF79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9021" y="118686"/>
              <a:ext cx="849449" cy="336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400843</xdr:colOff>
          <xdr:row>2</xdr:row>
          <xdr:rowOff>166456</xdr:rowOff>
        </xdr:from>
        <xdr:to>
          <xdr:col>8</xdr:col>
          <xdr:colOff>142875</xdr:colOff>
          <xdr:row>5</xdr:row>
          <xdr:rowOff>80146</xdr:rowOff>
        </xdr:to>
        <xdr:pic>
          <xdr:nvPicPr>
            <xdr:cNvPr id="62" name="Picture 61">
              <a:extLst>
                <a:ext uri="{FF2B5EF4-FFF2-40B4-BE49-F238E27FC236}">
                  <a16:creationId xmlns:a16="http://schemas.microsoft.com/office/drawing/2014/main" id="{27326EA5-5EA9-556D-C5A1-A5A640F05502}"/>
                </a:ext>
              </a:extLst>
            </xdr:cNvPr>
            <xdr:cNvPicPr>
              <a:picLocks noChangeAspect="1" noChangeArrowheads="1"/>
              <a:extLst>
                <a:ext uri="{84589F7E-364E-4C9E-8A38-B11213B215E9}">
                  <a14:cameraTool cellRange="'Pivot Report'!$A$46:$C$48" spid="_x0000_s1076"/>
                </a:ext>
              </a:extLst>
            </xdr:cNvPicPr>
          </xdr:nvPicPr>
          <xdr:blipFill>
            <a:blip xmlns:r="http://schemas.openxmlformats.org/officeDocument/2006/relationships" r:embed="rId18"/>
            <a:srcRect/>
            <a:stretch>
              <a:fillRect/>
            </a:stretch>
          </xdr:blipFill>
          <xdr:spPr bwMode="auto">
            <a:xfrm>
              <a:off x="1012031" y="531581"/>
              <a:ext cx="4020344" cy="46137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0</xdr:col>
      <xdr:colOff>6546</xdr:colOff>
      <xdr:row>0</xdr:row>
      <xdr:rowOff>26185</xdr:rowOff>
    </xdr:from>
    <xdr:to>
      <xdr:col>16</xdr:col>
      <xdr:colOff>228796</xdr:colOff>
      <xdr:row>20</xdr:row>
      <xdr:rowOff>134135</xdr:rowOff>
    </xdr:to>
    <xdr:graphicFrame macro="">
      <xdr:nvGraphicFramePr>
        <xdr:cNvPr id="2" name="Chart 1">
          <a:extLst>
            <a:ext uri="{FF2B5EF4-FFF2-40B4-BE49-F238E27FC236}">
              <a16:creationId xmlns:a16="http://schemas.microsoft.com/office/drawing/2014/main" id="{818BF217-6F27-4030-AB9E-DEBBE6282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0.0051</cdr:x>
      <cdr:y>0.01346</cdr:y>
    </cdr:from>
    <cdr:to>
      <cdr:x>0.06317</cdr:x>
      <cdr:y>0.16676</cdr:y>
    </cdr:to>
    <cdr:pic>
      <cdr:nvPicPr>
        <cdr:cNvPr id="4" name="Graphic 1"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F1862CB-21A6-AEAC-A957-5435D877466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78556" cy="578556"/>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332267</xdr:colOff>
      <xdr:row>15</xdr:row>
      <xdr:rowOff>0</xdr:rowOff>
    </xdr:to>
    <xdr:graphicFrame macro="">
      <xdr:nvGraphicFramePr>
        <xdr:cNvPr id="2" name="Chart 1">
          <a:extLst>
            <a:ext uri="{FF2B5EF4-FFF2-40B4-BE49-F238E27FC236}">
              <a16:creationId xmlns:a16="http://schemas.microsoft.com/office/drawing/2014/main" id="{BB5C87DD-3C3A-4645-9825-C3D7D6C88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0.04386</cdr:x>
      <cdr:y>0.81471</cdr:y>
    </cdr:from>
    <cdr:to>
      <cdr:x>0.92744</cdr:x>
      <cdr:y>0.97684</cdr:y>
    </cdr:to>
    <cdr:sp macro="" textlink="">
      <cdr:nvSpPr>
        <cdr:cNvPr id="2" name="TextBox 1">
          <a:extLst xmlns:a="http://schemas.openxmlformats.org/drawingml/2006/main">
            <a:ext uri="{FF2B5EF4-FFF2-40B4-BE49-F238E27FC236}">
              <a16:creationId xmlns:a16="http://schemas.microsoft.com/office/drawing/2014/main" id="{E322404C-A7CC-4722-D482-DE7D6E5AFFA0}"/>
            </a:ext>
          </a:extLst>
        </cdr:cNvPr>
        <cdr:cNvSpPr txBox="1"/>
      </cdr:nvSpPr>
      <cdr:spPr>
        <a:xfrm xmlns:a="http://schemas.openxmlformats.org/drawingml/2006/main">
          <a:off x="238250" y="1758800"/>
          <a:ext cx="4800000" cy="350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solidFill>
                <a:schemeClr val="bg1"/>
              </a:solidFill>
            </a:rPr>
            <a:t>Showing Daily Trend with an Area Sparkline</a:t>
          </a:r>
          <a:r>
            <a:rPr lang="en-US" sz="1200" b="1" kern="1200" baseline="0">
              <a:solidFill>
                <a:schemeClr val="bg1"/>
              </a:solidFill>
            </a:rPr>
            <a:t> spot Patterns Like Busy Days</a:t>
          </a:r>
          <a:endParaRPr lang="en-US" sz="1200" b="1" kern="1200">
            <a:solidFill>
              <a:schemeClr val="bg1"/>
            </a:solidFill>
          </a:endParaRPr>
        </a:p>
      </cdr:txBody>
    </cdr:sp>
  </cdr:relSizeAnchor>
  <cdr:relSizeAnchor xmlns:cdr="http://schemas.openxmlformats.org/drawingml/2006/chartDrawing">
    <cdr:from>
      <cdr:x>0</cdr:x>
      <cdr:y>0</cdr:y>
    </cdr:from>
    <cdr:to>
      <cdr:x>0.07543</cdr:x>
      <cdr:y>0.21026</cdr:y>
    </cdr:to>
    <cdr:pic>
      <cdr:nvPicPr>
        <cdr:cNvPr id="4" name="Graphic 3" descr="Work from home 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E895940-D6CA-2CCA-EB90-83A242AB68A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78556" cy="57855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15046297" backgroundQuery="1" createdVersion="8" refreshedVersion="8" minRefreshableVersion="3" recordCount="0" supportSubquery="1" supportAdvancedDrill="1" xr:uid="{8AD99E83-340F-411A-A3AF-079B42D93D98}">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16087966" backgroundQuery="1" createdVersion="8" refreshedVersion="8" minRefreshableVersion="3" recordCount="0" supportSubquery="1" supportAdvancedDrill="1" xr:uid="{F742316B-28A7-4C3D-BB91-5CAD1B05375F}">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1701389" backgroundQuery="1" createdVersion="8" refreshedVersion="8" minRefreshableVersion="3" recordCount="0" supportSubquery="1" supportAdvancedDrill="1" xr:uid="{800DB369-4465-4D6D-A9A3-1B0A7E3EEFAD}">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17708337" backgroundQuery="1" createdVersion="8" refreshedVersion="8" minRefreshableVersion="3" recordCount="0" supportSubquery="1" supportAdvancedDrill="1" xr:uid="{C5371C4F-FBB0-4F24-8F47-BD4AA868A146}">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18749999" backgroundQuery="1" createdVersion="8" refreshedVersion="8" minRefreshableVersion="3" recordCount="0" supportSubquery="1" supportAdvancedDrill="1" xr:uid="{CBC84D4E-601B-4E02-9C09-5119E11C45C6}">
  <cacheSource type="external" connectionId="3"/>
  <cacheFields count="4">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20023146" backgroundQuery="1" createdVersion="8" refreshedVersion="8" minRefreshableVersion="3" recordCount="0" supportSubquery="1" supportAdvancedDrill="1" xr:uid="{9B3A005F-41D2-484E-9513-3BFA25F8A761}">
  <cacheSource type="external" connectionId="3"/>
  <cacheFields count="4">
    <cacheField name="[Calendar 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21412039" backgroundQuery="1" createdVersion="8" refreshedVersion="8" minRefreshableVersion="3" recordCount="0" supportSubquery="1" supportAdvancedDrill="1" xr:uid="{226917CB-96C9-44C3-863C-342C98FE0A16}">
  <cacheSource type="external" connectionId="3"/>
  <cacheFields count="5">
    <cacheField name="[Calenda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n Admitted"/>
      </sharedItems>
    </cacheField>
    <cacheField name="[Measures].[Count of Patient Admission Flag]" caption="Count of Patient Admission Flag" numFmtId="0" hierarchy="30" level="32767"/>
    <cacheField name="[Calenda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2199074" backgroundQuery="1" createdVersion="8" refreshedVersion="8" minRefreshableVersion="3" recordCount="0" supportSubquery="1" supportAdvancedDrill="1" xr:uid="{2AFA60C3-D5EA-4F27-8E40-6A858DACA634}">
  <cacheSource type="external" connectionId="3"/>
  <cacheFields count="4">
    <cacheField name="[Calenda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23263887" backgroundQuery="1" createdVersion="8" refreshedVersion="8" minRefreshableVersion="3" recordCount="0" supportSubquery="1" supportAdvancedDrill="1" xr:uid="{83B3EA6A-1C2D-423B-8D8B-6FD7B8C5BA3A}">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24537034" backgroundQuery="1" createdVersion="8" refreshedVersion="8" minRefreshableVersion="3" recordCount="0" supportSubquery="1" supportAdvancedDrill="1" xr:uid="{2B37FACB-55C4-4F97-849C-91193BE4B8D7}">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25810188" backgroundQuery="1" createdVersion="8" refreshedVersion="8" minRefreshableVersion="3" recordCount="0" supportSubquery="1" supportAdvancedDrill="1" xr:uid="{A29845BD-046A-4278-9811-692D43134031}">
  <cacheSource type="external" connectionId="3"/>
  <cacheFields count="4">
    <cacheField name="[Calendar 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 Table].[Date (Year)].[Date (Year)]" caption="Date (Year)" numFmtId="0" hierarchy="3" level="1">
      <sharedItems containsSemiMixedTypes="0" containsNonDate="0" containsString="0"/>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709627083335" backgroundQuery="1" createdVersion="8" refreshedVersion="8" minRefreshableVersion="3" recordCount="0" supportSubquery="1" supportAdvancedDrill="1" xr:uid="{2B13C574-78FA-4902-B9F0-FF531E35AC16}">
  <cacheSource type="external" connectionId="3"/>
  <cacheFields count="4">
    <cacheField name="[Calendar Table].[Date (Month)].[Date (Month)]" caption="Date (Month)" numFmtId="0" hierarchy="1" level="1">
      <sharedItems count="1">
        <s v="Oct"/>
      </sharedItems>
    </cacheField>
    <cacheField name="[Calendar 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ar Table].[Date (Quarter)].[Date (Quarter)]" caption="Date (Quarter)" numFmtId="0" hierarchy="4" level="1">
      <sharedItems count="1">
        <s v="Qtr4"/>
      </sharedItems>
    </cacheField>
    <cacheField name="[Calendar Table].[Date (Year)].[Date (Year)]" caption="Date (Year)" numFmtId="0" hierarchy="3" level="1">
      <sharedItems count="1">
        <s v="2024"/>
      </sharedItems>
    </cacheField>
  </cacheFields>
  <cacheHierarchies count="34">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no" refreshedDate="46215.554902662036" backgroundQuery="1" createdVersion="3" refreshedVersion="8" minRefreshableVersion="3" recordCount="0" supportSubquery="1" supportAdvancedDrill="1" xr:uid="{2D141B38-7249-48E9-95AE-F2E784491BB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436405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3CDE5-2971-43C3-BBD4-E72A9AE67EE0}"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A45C70-38DA-4B18-B6BD-AD3DCE1D442D}"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7EF88E-8376-479E-9197-A3D4F733CBD6}"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numFmtId="2"/>
  </dataFields>
  <formats count="1">
    <format dxfId="2">
      <pivotArea outline="0" collapsedLevelsAreSubtotals="1" fieldPosition="0"/>
    </format>
  </formats>
  <chartFormats count="4">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D9FA9E-650B-4FC7-A98C-2FA69363CF35}" name="PivotTable10"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1">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
      <pivotArea outline="0" collapsedLevelsAreSubtotals="1" fieldPosition="0"/>
    </format>
  </formats>
  <chartFormats count="4">
    <chartFormat chart="37" format="0"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8EE19A-742D-4435-B87B-36599163FBA0}" name="PivotTable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4">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BA427B-642C-4792-8AAE-FEC801C8013D}" name="PivotTable1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1">
  <location ref="D77:D7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efaultSubtotal="0">
      <items count="1">
        <item s="1" x="0" e="0"/>
      </items>
    </pivotField>
  </pivotFields>
  <rowFields count="4">
    <field x="3"/>
    <field x="2"/>
    <field x="0"/>
    <field x="1"/>
  </rowFields>
  <rowItems count="2">
    <i>
      <x/>
    </i>
    <i t="grand">
      <x/>
    </i>
  </rowItems>
  <formats count="1">
    <format dxfId="5">
      <pivotArea outline="0" collapsedLevelsAreSubtotals="1" fieldPosition="0"/>
    </format>
  </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8528C9-E963-429E-9BA0-2B5AB325FE0C}"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C4:D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3E14C2-1308-41AB-BC2A-4BAB5967128B}" name="PivotTable1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3">
  <location ref="A77:B8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1" subtotal="count" baseField="0" baseItem="0"/>
  </dataFields>
  <formats count="1">
    <format dxfId="6">
      <pivotArea outline="0" collapsedLevelsAreSubtotals="1" fieldPosition="0"/>
    </format>
  </formats>
  <chartFormats count="1">
    <chartFormat chart="5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69D3A6-6867-4630-8D6B-68154F8CDE76}"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0">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
  </dataFields>
  <formats count="1">
    <format dxfId="7">
      <pivotArea outline="0" collapsedLevelsAreSubtotals="1" fieldPosition="0"/>
    </format>
  </formats>
  <chartFormats count="2">
    <chartFormat chart="35" format="3"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D3BD4A-59C1-4892-B260-54288453FE6F}"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64: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1">
    <format dxfId="8">
      <pivotArea outline="0" collapsedLevelsAreSubtotals="1" fieldPosition="0"/>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86C13D-4F79-4297-8306-E40E31B34EE6}"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4C5311-F474-41AA-B80B-1E43BC6E8604}" name="PivotTable7"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43">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0">
      <pivotArea outline="0" collapsedLevelsAreSubtotals="1" fieldPosition="0"/>
    </format>
    <format dxfId="9">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95" format="0" series="1">
      <pivotArea type="data" outline="0" fieldPosition="0">
        <references count="1">
          <reference field="4294967294" count="1" selected="0">
            <x v="0"/>
          </reference>
        </references>
      </pivotArea>
    </chartFormat>
    <chartFormat chart="95"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 Table].[Date (Month)].&amp;[Jul]"/>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305522D-9E43-4FC5-B5CB-057B2AF0097E}" sourceName="[Calendar 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743640513">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6386BD2-0322-43F4-852A-4D7FC59BFEEB}" sourceName="[Calenda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43640513">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17E3500-E093-47BC-BA61-75B571A91231}" cache="Slicer_Date__Month" caption="Date (Month)" showCaption="0" level="1" style="SlicerStyleDark1 2" rowHeight="182880"/>
  <slicer name="Date (Year)" xr10:uid="{EEAA477B-4658-4D0B-A66E-518C77389A26}" cache="Slicer_Date__Year" caption="Date (Year)" startItem="1" showCaption="0" level="1" style="SlicerStyleDark1 2" lockedPosition="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4B29-AC0E-4082-B4BC-DD4AE1EC1475}">
  <dimension ref="A3:K86"/>
  <sheetViews>
    <sheetView zoomScale="47" zoomScaleNormal="184" workbookViewId="0">
      <selection activeCell="D48" sqref="D48"/>
    </sheetView>
  </sheetViews>
  <sheetFormatPr defaultRowHeight="14.5" x14ac:dyDescent="0.35"/>
  <cols>
    <col min="1" max="1" width="14.81640625" bestFit="1" customWidth="1"/>
    <col min="2" max="2" width="25.90625" bestFit="1" customWidth="1"/>
    <col min="3" max="4" width="12.453125" bestFit="1" customWidth="1"/>
    <col min="7" max="7" width="12.453125" bestFit="1" customWidth="1"/>
    <col min="8" max="8" width="24.1796875" bestFit="1" customWidth="1"/>
    <col min="9" max="9" width="21.26953125" bestFit="1" customWidth="1"/>
    <col min="10" max="10" width="12.453125" bestFit="1" customWidth="1"/>
    <col min="11" max="11" width="32.08984375" bestFit="1" customWidth="1"/>
    <col min="12" max="12" width="28.90625" bestFit="1" customWidth="1"/>
  </cols>
  <sheetData>
    <row r="3" spans="1:11" x14ac:dyDescent="0.35">
      <c r="C3" t="s">
        <v>5</v>
      </c>
      <c r="G3" t="s">
        <v>6</v>
      </c>
      <c r="J3" t="s">
        <v>7</v>
      </c>
    </row>
    <row r="4" spans="1:11" x14ac:dyDescent="0.35">
      <c r="A4" t="s">
        <v>0</v>
      </c>
      <c r="C4" s="5" t="s">
        <v>3</v>
      </c>
      <c r="D4" t="s">
        <v>0</v>
      </c>
      <c r="G4" s="5" t="s">
        <v>3</v>
      </c>
      <c r="H4" t="s">
        <v>1</v>
      </c>
      <c r="J4" s="5" t="s">
        <v>3</v>
      </c>
      <c r="K4" t="s">
        <v>2</v>
      </c>
    </row>
    <row r="5" spans="1:11" x14ac:dyDescent="0.35">
      <c r="A5">
        <v>488</v>
      </c>
      <c r="C5" s="1" t="s">
        <v>43</v>
      </c>
      <c r="D5">
        <v>17</v>
      </c>
      <c r="G5" s="1" t="s">
        <v>43</v>
      </c>
      <c r="H5" s="4">
        <v>36.941176470588232</v>
      </c>
      <c r="J5" s="1" t="s">
        <v>43</v>
      </c>
      <c r="K5" s="4">
        <v>4.125</v>
      </c>
    </row>
    <row r="6" spans="1:11" x14ac:dyDescent="0.35">
      <c r="C6" s="1" t="s">
        <v>44</v>
      </c>
      <c r="D6">
        <v>19</v>
      </c>
      <c r="G6" s="1" t="s">
        <v>44</v>
      </c>
      <c r="H6" s="4">
        <v>30.842105263157894</v>
      </c>
      <c r="J6" s="1" t="s">
        <v>44</v>
      </c>
      <c r="K6" s="4">
        <v>5.333333333333333</v>
      </c>
    </row>
    <row r="7" spans="1:11" x14ac:dyDescent="0.35">
      <c r="C7" s="1" t="s">
        <v>45</v>
      </c>
      <c r="D7">
        <v>12</v>
      </c>
      <c r="G7" s="1" t="s">
        <v>45</v>
      </c>
      <c r="H7" s="4">
        <v>31.833333333333332</v>
      </c>
      <c r="J7" s="1" t="s">
        <v>45</v>
      </c>
      <c r="K7" s="4">
        <v>4.75</v>
      </c>
    </row>
    <row r="8" spans="1:11" x14ac:dyDescent="0.35">
      <c r="C8" s="1" t="s">
        <v>46</v>
      </c>
      <c r="D8">
        <v>9</v>
      </c>
      <c r="G8" s="1" t="s">
        <v>46</v>
      </c>
      <c r="H8" s="4">
        <v>33.777777777777779</v>
      </c>
      <c r="J8" s="1" t="s">
        <v>46</v>
      </c>
      <c r="K8" s="4">
        <v>2</v>
      </c>
    </row>
    <row r="9" spans="1:11" x14ac:dyDescent="0.35">
      <c r="C9" s="1" t="s">
        <v>47</v>
      </c>
      <c r="D9">
        <v>15</v>
      </c>
      <c r="G9" s="1" t="s">
        <v>47</v>
      </c>
      <c r="H9" s="4">
        <v>30.466666666666665</v>
      </c>
      <c r="J9" s="1" t="s">
        <v>47</v>
      </c>
      <c r="K9" s="4">
        <v>8</v>
      </c>
    </row>
    <row r="10" spans="1:11" x14ac:dyDescent="0.35">
      <c r="A10" t="s">
        <v>1</v>
      </c>
      <c r="C10" s="1" t="s">
        <v>48</v>
      </c>
      <c r="D10">
        <v>10</v>
      </c>
      <c r="G10" s="1" t="s">
        <v>48</v>
      </c>
      <c r="H10" s="4">
        <v>38.799999999999997</v>
      </c>
      <c r="J10" s="1" t="s">
        <v>48</v>
      </c>
      <c r="K10" s="4">
        <v>3.5</v>
      </c>
    </row>
    <row r="11" spans="1:11" x14ac:dyDescent="0.35">
      <c r="A11" s="4">
        <v>35.19877049180328</v>
      </c>
      <c r="C11" s="1" t="s">
        <v>49</v>
      </c>
      <c r="D11">
        <v>18</v>
      </c>
      <c r="G11" s="1" t="s">
        <v>49</v>
      </c>
      <c r="H11" s="4">
        <v>30.277777777777779</v>
      </c>
      <c r="J11" s="1" t="s">
        <v>49</v>
      </c>
      <c r="K11" s="4">
        <v>7</v>
      </c>
    </row>
    <row r="12" spans="1:11" x14ac:dyDescent="0.35">
      <c r="C12" s="1" t="s">
        <v>50</v>
      </c>
      <c r="D12">
        <v>19</v>
      </c>
      <c r="G12" s="1" t="s">
        <v>50</v>
      </c>
      <c r="H12" s="4">
        <v>35.157894736842103</v>
      </c>
      <c r="J12" s="1" t="s">
        <v>50</v>
      </c>
      <c r="K12" s="4">
        <v>3.5</v>
      </c>
    </row>
    <row r="13" spans="1:11" x14ac:dyDescent="0.35">
      <c r="C13" s="1" t="s">
        <v>51</v>
      </c>
      <c r="D13">
        <v>19</v>
      </c>
      <c r="G13" s="1" t="s">
        <v>51</v>
      </c>
      <c r="H13" s="4">
        <v>37.94736842105263</v>
      </c>
      <c r="J13" s="1" t="s">
        <v>51</v>
      </c>
      <c r="K13" s="4">
        <v>6.4</v>
      </c>
    </row>
    <row r="14" spans="1:11" x14ac:dyDescent="0.35">
      <c r="C14" s="1" t="s">
        <v>52</v>
      </c>
      <c r="D14">
        <v>13</v>
      </c>
      <c r="G14" s="1" t="s">
        <v>52</v>
      </c>
      <c r="H14" s="4">
        <v>33.92307692307692</v>
      </c>
      <c r="J14" s="1" t="s">
        <v>52</v>
      </c>
      <c r="K14" s="4">
        <v>3.5</v>
      </c>
    </row>
    <row r="15" spans="1:11" x14ac:dyDescent="0.35">
      <c r="A15" t="s">
        <v>2</v>
      </c>
      <c r="C15" s="1" t="s">
        <v>53</v>
      </c>
      <c r="D15">
        <v>15</v>
      </c>
      <c r="G15" s="1" t="s">
        <v>53</v>
      </c>
      <c r="H15" s="4">
        <v>33.200000000000003</v>
      </c>
      <c r="J15" s="1" t="s">
        <v>53</v>
      </c>
      <c r="K15" s="4">
        <v>6.5</v>
      </c>
    </row>
    <row r="16" spans="1:11" x14ac:dyDescent="0.35">
      <c r="A16" s="4">
        <v>4.7876712328767121</v>
      </c>
      <c r="C16" s="1" t="s">
        <v>54</v>
      </c>
      <c r="D16">
        <v>25</v>
      </c>
      <c r="G16" s="1" t="s">
        <v>54</v>
      </c>
      <c r="H16" s="4">
        <v>40.159999999999997</v>
      </c>
      <c r="J16" s="1" t="s">
        <v>54</v>
      </c>
      <c r="K16" s="4">
        <v>5.2857142857142856</v>
      </c>
    </row>
    <row r="17" spans="3:11" x14ac:dyDescent="0.35">
      <c r="C17" s="1" t="s">
        <v>55</v>
      </c>
      <c r="D17">
        <v>19</v>
      </c>
      <c r="G17" s="1" t="s">
        <v>55</v>
      </c>
      <c r="H17" s="4">
        <v>41.578947368421055</v>
      </c>
      <c r="J17" s="1" t="s">
        <v>55</v>
      </c>
      <c r="K17" s="4">
        <v>4.333333333333333</v>
      </c>
    </row>
    <row r="18" spans="3:11" x14ac:dyDescent="0.35">
      <c r="C18" s="1" t="s">
        <v>56</v>
      </c>
      <c r="D18">
        <v>15</v>
      </c>
      <c r="G18" s="1" t="s">
        <v>56</v>
      </c>
      <c r="H18" s="4">
        <v>36.866666666666667</v>
      </c>
      <c r="J18" s="1" t="s">
        <v>56</v>
      </c>
      <c r="K18" s="4">
        <v>3</v>
      </c>
    </row>
    <row r="19" spans="3:11" x14ac:dyDescent="0.35">
      <c r="C19" s="1" t="s">
        <v>57</v>
      </c>
      <c r="D19">
        <v>14</v>
      </c>
      <c r="G19" s="1" t="s">
        <v>57</v>
      </c>
      <c r="H19" s="4">
        <v>33.714285714285715</v>
      </c>
      <c r="J19" s="1" t="s">
        <v>57</v>
      </c>
      <c r="K19" s="4">
        <v>4.333333333333333</v>
      </c>
    </row>
    <row r="20" spans="3:11" x14ac:dyDescent="0.35">
      <c r="C20" s="1" t="s">
        <v>58</v>
      </c>
      <c r="D20">
        <v>20</v>
      </c>
      <c r="G20" s="1" t="s">
        <v>58</v>
      </c>
      <c r="H20" s="4">
        <v>33.700000000000003</v>
      </c>
      <c r="J20" s="1" t="s">
        <v>58</v>
      </c>
      <c r="K20" s="4">
        <v>3.3333333333333335</v>
      </c>
    </row>
    <row r="21" spans="3:11" x14ac:dyDescent="0.35">
      <c r="C21" s="1" t="s">
        <v>59</v>
      </c>
      <c r="D21">
        <v>14</v>
      </c>
      <c r="G21" s="1" t="s">
        <v>59</v>
      </c>
      <c r="H21" s="4">
        <v>34.642857142857146</v>
      </c>
      <c r="J21" s="1" t="s">
        <v>59</v>
      </c>
      <c r="K21" s="4">
        <v>2.5714285714285716</v>
      </c>
    </row>
    <row r="22" spans="3:11" x14ac:dyDescent="0.35">
      <c r="C22" s="1" t="s">
        <v>60</v>
      </c>
      <c r="D22">
        <v>14</v>
      </c>
      <c r="G22" s="1" t="s">
        <v>60</v>
      </c>
      <c r="H22" s="4">
        <v>36.5</v>
      </c>
      <c r="J22" s="1" t="s">
        <v>60</v>
      </c>
      <c r="K22" s="4">
        <v>3.75</v>
      </c>
    </row>
    <row r="23" spans="3:11" x14ac:dyDescent="0.35">
      <c r="C23" s="1" t="s">
        <v>61</v>
      </c>
      <c r="D23">
        <v>17</v>
      </c>
      <c r="G23" s="1" t="s">
        <v>61</v>
      </c>
      <c r="H23" s="4">
        <v>33.058823529411768</v>
      </c>
      <c r="J23" s="1" t="s">
        <v>61</v>
      </c>
      <c r="K23" s="4">
        <v>8.3333333333333339</v>
      </c>
    </row>
    <row r="24" spans="3:11" x14ac:dyDescent="0.35">
      <c r="C24" s="1" t="s">
        <v>62</v>
      </c>
      <c r="D24">
        <v>16</v>
      </c>
      <c r="G24" s="1" t="s">
        <v>62</v>
      </c>
      <c r="H24" s="4">
        <v>33.5625</v>
      </c>
      <c r="J24" s="1" t="s">
        <v>62</v>
      </c>
      <c r="K24" s="4">
        <v>3.75</v>
      </c>
    </row>
    <row r="25" spans="3:11" x14ac:dyDescent="0.35">
      <c r="C25" s="1" t="s">
        <v>63</v>
      </c>
      <c r="D25">
        <v>18</v>
      </c>
      <c r="G25" s="1" t="s">
        <v>63</v>
      </c>
      <c r="H25" s="4">
        <v>31.555555555555557</v>
      </c>
      <c r="J25" s="1" t="s">
        <v>63</v>
      </c>
      <c r="K25" s="4">
        <v>4.666666666666667</v>
      </c>
    </row>
    <row r="26" spans="3:11" x14ac:dyDescent="0.35">
      <c r="C26" s="1" t="s">
        <v>64</v>
      </c>
      <c r="D26">
        <v>8</v>
      </c>
      <c r="G26" s="1" t="s">
        <v>64</v>
      </c>
      <c r="H26" s="4">
        <v>38.375</v>
      </c>
      <c r="J26" s="1" t="s">
        <v>64</v>
      </c>
      <c r="K26" s="4">
        <v>5</v>
      </c>
    </row>
    <row r="27" spans="3:11" x14ac:dyDescent="0.35">
      <c r="C27" s="1" t="s">
        <v>65</v>
      </c>
      <c r="D27">
        <v>17</v>
      </c>
      <c r="G27" s="1" t="s">
        <v>65</v>
      </c>
      <c r="H27" s="4">
        <v>35.411764705882355</v>
      </c>
      <c r="J27" s="1" t="s">
        <v>65</v>
      </c>
      <c r="K27" s="4">
        <v>4.333333333333333</v>
      </c>
    </row>
    <row r="28" spans="3:11" x14ac:dyDescent="0.35">
      <c r="C28" s="1" t="s">
        <v>66</v>
      </c>
      <c r="D28">
        <v>11</v>
      </c>
      <c r="G28" s="1" t="s">
        <v>66</v>
      </c>
      <c r="H28" s="4">
        <v>34.909090909090907</v>
      </c>
      <c r="J28" s="1" t="s">
        <v>66</v>
      </c>
      <c r="K28" s="4">
        <v>4.666666666666667</v>
      </c>
    </row>
    <row r="29" spans="3:11" x14ac:dyDescent="0.35">
      <c r="C29" s="1" t="s">
        <v>67</v>
      </c>
      <c r="D29">
        <v>15</v>
      </c>
      <c r="G29" s="1" t="s">
        <v>67</v>
      </c>
      <c r="H29" s="4">
        <v>35.133333333333333</v>
      </c>
      <c r="J29" s="1" t="s">
        <v>67</v>
      </c>
      <c r="K29" s="4">
        <v>4.5</v>
      </c>
    </row>
    <row r="30" spans="3:11" x14ac:dyDescent="0.35">
      <c r="C30" s="1" t="s">
        <v>68</v>
      </c>
      <c r="D30">
        <v>13</v>
      </c>
      <c r="G30" s="1" t="s">
        <v>68</v>
      </c>
      <c r="H30" s="4">
        <v>35.07692307692308</v>
      </c>
      <c r="J30" s="1" t="s">
        <v>68</v>
      </c>
      <c r="K30" s="4">
        <v>6</v>
      </c>
    </row>
    <row r="31" spans="3:11" x14ac:dyDescent="0.35">
      <c r="C31" s="1" t="s">
        <v>69</v>
      </c>
      <c r="D31">
        <v>17</v>
      </c>
      <c r="G31" s="1" t="s">
        <v>69</v>
      </c>
      <c r="H31" s="4">
        <v>35.352941176470587</v>
      </c>
      <c r="J31" s="1" t="s">
        <v>69</v>
      </c>
      <c r="K31" s="4">
        <v>6.8888888888888893</v>
      </c>
    </row>
    <row r="32" spans="3:11" x14ac:dyDescent="0.35">
      <c r="C32" s="1" t="s">
        <v>70</v>
      </c>
      <c r="D32">
        <v>20</v>
      </c>
      <c r="G32" s="1" t="s">
        <v>70</v>
      </c>
      <c r="H32" s="4">
        <v>36.6</v>
      </c>
      <c r="J32" s="1" t="s">
        <v>70</v>
      </c>
      <c r="K32" s="4">
        <v>6.5714285714285712</v>
      </c>
    </row>
    <row r="33" spans="1:11" x14ac:dyDescent="0.35">
      <c r="C33" s="1" t="s">
        <v>71</v>
      </c>
      <c r="D33">
        <v>20</v>
      </c>
      <c r="G33" s="1" t="s">
        <v>71</v>
      </c>
      <c r="H33" s="4">
        <v>35.799999999999997</v>
      </c>
      <c r="J33" s="1" t="s">
        <v>71</v>
      </c>
      <c r="K33" s="4">
        <v>4.0999999999999996</v>
      </c>
    </row>
    <row r="34" spans="1:11" x14ac:dyDescent="0.35">
      <c r="C34" s="1" t="s">
        <v>72</v>
      </c>
      <c r="D34">
        <v>13</v>
      </c>
      <c r="G34" s="1" t="s">
        <v>72</v>
      </c>
      <c r="H34" s="4">
        <v>30.307692307692307</v>
      </c>
      <c r="J34" s="1" t="s">
        <v>72</v>
      </c>
      <c r="K34" s="4">
        <v>5</v>
      </c>
    </row>
    <row r="35" spans="1:11" x14ac:dyDescent="0.35">
      <c r="C35" s="1" t="s">
        <v>73</v>
      </c>
      <c r="D35">
        <v>16</v>
      </c>
      <c r="G35" s="1" t="s">
        <v>73</v>
      </c>
      <c r="H35" s="4">
        <v>42.75</v>
      </c>
      <c r="J35" s="1" t="s">
        <v>73</v>
      </c>
      <c r="K35" s="4">
        <v>5.4</v>
      </c>
    </row>
    <row r="36" spans="1:11" x14ac:dyDescent="0.35">
      <c r="C36" s="1" t="s">
        <v>4</v>
      </c>
      <c r="D36">
        <v>488</v>
      </c>
      <c r="G36" s="1" t="s">
        <v>4</v>
      </c>
      <c r="H36" s="4">
        <v>35.19877049180328</v>
      </c>
      <c r="J36" s="1" t="s">
        <v>4</v>
      </c>
      <c r="K36" s="4">
        <v>4.7876712328767121</v>
      </c>
    </row>
    <row r="40" spans="1:11" x14ac:dyDescent="0.35">
      <c r="A40" s="5" t="s">
        <v>3</v>
      </c>
      <c r="B40" t="s">
        <v>13</v>
      </c>
      <c r="C40" t="s">
        <v>14</v>
      </c>
    </row>
    <row r="41" spans="1:11" x14ac:dyDescent="0.35">
      <c r="A41" s="1" t="s">
        <v>11</v>
      </c>
      <c r="B41" s="4">
        <v>266</v>
      </c>
      <c r="C41" s="6">
        <v>0.54508196721311475</v>
      </c>
    </row>
    <row r="42" spans="1:11" x14ac:dyDescent="0.35">
      <c r="A42" s="1" t="s">
        <v>12</v>
      </c>
      <c r="B42" s="4">
        <v>222</v>
      </c>
      <c r="C42" s="6">
        <v>0.45491803278688525</v>
      </c>
    </row>
    <row r="43" spans="1:11" x14ac:dyDescent="0.35">
      <c r="A43" s="1" t="s">
        <v>4</v>
      </c>
      <c r="B43" s="4">
        <v>488</v>
      </c>
      <c r="C43" s="6">
        <v>1</v>
      </c>
    </row>
    <row r="46" spans="1:11" x14ac:dyDescent="0.35">
      <c r="A46" s="10" t="s">
        <v>15</v>
      </c>
      <c r="B46" s="10" t="s">
        <v>16</v>
      </c>
      <c r="C46" s="10" t="s">
        <v>17</v>
      </c>
      <c r="D46" s="8"/>
    </row>
    <row r="47" spans="1:11" x14ac:dyDescent="0.35">
      <c r="A47" s="11" t="str">
        <f>A42</f>
        <v>Non Admitted</v>
      </c>
      <c r="B47" s="11">
        <f>B42</f>
        <v>222</v>
      </c>
      <c r="C47" s="12">
        <f>C42</f>
        <v>0.45491803278688525</v>
      </c>
      <c r="D47" s="8"/>
    </row>
    <row r="48" spans="1:11" x14ac:dyDescent="0.35">
      <c r="A48" s="11" t="str">
        <f>A41</f>
        <v>Admitted</v>
      </c>
      <c r="B48" s="11">
        <f>B41</f>
        <v>266</v>
      </c>
      <c r="C48" s="12">
        <f>C41</f>
        <v>0.54508196721311475</v>
      </c>
      <c r="D48" s="8"/>
    </row>
    <row r="50" spans="1:2" x14ac:dyDescent="0.35">
      <c r="A50" t="s">
        <v>27</v>
      </c>
    </row>
    <row r="51" spans="1:2" x14ac:dyDescent="0.35">
      <c r="A51" s="5" t="s">
        <v>3</v>
      </c>
      <c r="B51" t="s">
        <v>26</v>
      </c>
    </row>
    <row r="52" spans="1:2" x14ac:dyDescent="0.35">
      <c r="A52" s="1" t="s">
        <v>18</v>
      </c>
      <c r="B52" s="4">
        <v>62</v>
      </c>
    </row>
    <row r="53" spans="1:2" x14ac:dyDescent="0.35">
      <c r="A53" s="1" t="s">
        <v>19</v>
      </c>
      <c r="B53" s="4">
        <v>73</v>
      </c>
    </row>
    <row r="54" spans="1:2" x14ac:dyDescent="0.35">
      <c r="A54" s="1" t="s">
        <v>20</v>
      </c>
      <c r="B54" s="4">
        <v>49</v>
      </c>
    </row>
    <row r="55" spans="1:2" x14ac:dyDescent="0.35">
      <c r="A55" s="1" t="s">
        <v>21</v>
      </c>
      <c r="B55" s="4">
        <v>44</v>
      </c>
    </row>
    <row r="56" spans="1:2" x14ac:dyDescent="0.35">
      <c r="A56" s="1" t="s">
        <v>22</v>
      </c>
      <c r="B56" s="4">
        <v>72</v>
      </c>
    </row>
    <row r="57" spans="1:2" x14ac:dyDescent="0.35">
      <c r="A57" s="1" t="s">
        <v>23</v>
      </c>
      <c r="B57" s="4">
        <v>71</v>
      </c>
    </row>
    <row r="58" spans="1:2" x14ac:dyDescent="0.35">
      <c r="A58" s="1" t="s">
        <v>24</v>
      </c>
      <c r="B58" s="4">
        <v>59</v>
      </c>
    </row>
    <row r="59" spans="1:2" x14ac:dyDescent="0.35">
      <c r="A59" s="1" t="s">
        <v>25</v>
      </c>
      <c r="B59" s="4">
        <v>58</v>
      </c>
    </row>
    <row r="60" spans="1:2" x14ac:dyDescent="0.35">
      <c r="A60" s="1" t="s">
        <v>4</v>
      </c>
      <c r="B60" s="4">
        <v>488</v>
      </c>
    </row>
    <row r="63" spans="1:2" x14ac:dyDescent="0.35">
      <c r="A63" s="1" t="s">
        <v>28</v>
      </c>
    </row>
    <row r="64" spans="1:2" x14ac:dyDescent="0.35">
      <c r="A64" s="5" t="s">
        <v>3</v>
      </c>
      <c r="B64" t="s">
        <v>10</v>
      </c>
    </row>
    <row r="65" spans="1:4" x14ac:dyDescent="0.35">
      <c r="A65" s="1" t="s">
        <v>8</v>
      </c>
      <c r="B65" s="7">
        <v>288</v>
      </c>
    </row>
    <row r="66" spans="1:4" x14ac:dyDescent="0.35">
      <c r="A66" s="1" t="s">
        <v>9</v>
      </c>
      <c r="B66" s="7">
        <v>200</v>
      </c>
    </row>
    <row r="67" spans="1:4" x14ac:dyDescent="0.35">
      <c r="A67" s="1" t="s">
        <v>4</v>
      </c>
      <c r="B67" s="7">
        <v>488</v>
      </c>
    </row>
    <row r="69" spans="1:4" x14ac:dyDescent="0.35">
      <c r="A69" s="1" t="s">
        <v>32</v>
      </c>
    </row>
    <row r="70" spans="1:4" x14ac:dyDescent="0.35">
      <c r="A70" s="5" t="s">
        <v>3</v>
      </c>
      <c r="B70" t="s">
        <v>31</v>
      </c>
    </row>
    <row r="71" spans="1:4" x14ac:dyDescent="0.35">
      <c r="A71" s="1" t="s">
        <v>29</v>
      </c>
      <c r="B71" s="7">
        <v>232</v>
      </c>
    </row>
    <row r="72" spans="1:4" x14ac:dyDescent="0.35">
      <c r="A72" s="1" t="s">
        <v>30</v>
      </c>
      <c r="B72" s="7">
        <v>256</v>
      </c>
    </row>
    <row r="73" spans="1:4" x14ac:dyDescent="0.35">
      <c r="A73" s="1" t="s">
        <v>4</v>
      </c>
      <c r="B73" s="7">
        <v>488</v>
      </c>
    </row>
    <row r="77" spans="1:4" x14ac:dyDescent="0.35">
      <c r="A77" s="5" t="s">
        <v>3</v>
      </c>
      <c r="B77" t="s">
        <v>33</v>
      </c>
      <c r="D77" s="5" t="s">
        <v>3</v>
      </c>
    </row>
    <row r="78" spans="1:4" x14ac:dyDescent="0.35">
      <c r="A78" s="1" t="s">
        <v>41</v>
      </c>
      <c r="B78" s="7">
        <v>4</v>
      </c>
      <c r="D78" s="1" t="s">
        <v>42</v>
      </c>
    </row>
    <row r="79" spans="1:4" x14ac:dyDescent="0.35">
      <c r="A79" s="1" t="s">
        <v>37</v>
      </c>
      <c r="B79" s="7">
        <v>7</v>
      </c>
      <c r="D79" s="1" t="s">
        <v>4</v>
      </c>
    </row>
    <row r="80" spans="1:4" x14ac:dyDescent="0.35">
      <c r="A80" s="1" t="s">
        <v>34</v>
      </c>
      <c r="B80" s="7">
        <v>11</v>
      </c>
    </row>
    <row r="81" spans="1:2" x14ac:dyDescent="0.35">
      <c r="A81" s="1" t="s">
        <v>35</v>
      </c>
      <c r="B81" s="7">
        <v>11</v>
      </c>
    </row>
    <row r="82" spans="1:2" x14ac:dyDescent="0.35">
      <c r="A82" s="1" t="s">
        <v>40</v>
      </c>
      <c r="B82" s="7">
        <v>12</v>
      </c>
    </row>
    <row r="83" spans="1:2" x14ac:dyDescent="0.35">
      <c r="A83" s="1" t="s">
        <v>39</v>
      </c>
      <c r="B83" s="7">
        <v>60</v>
      </c>
    </row>
    <row r="84" spans="1:2" x14ac:dyDescent="0.35">
      <c r="A84" s="1" t="s">
        <v>36</v>
      </c>
      <c r="B84" s="7">
        <v>93</v>
      </c>
    </row>
    <row r="85" spans="1:2" x14ac:dyDescent="0.35">
      <c r="A85" s="1" t="s">
        <v>38</v>
      </c>
      <c r="B85" s="7">
        <v>290</v>
      </c>
    </row>
    <row r="86" spans="1:2" x14ac:dyDescent="0.35">
      <c r="A86" s="1" t="s">
        <v>4</v>
      </c>
      <c r="B86" s="7">
        <v>488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45B9-ED7F-4774-9407-8EEC451A41C5}">
  <dimension ref="A1:R27"/>
  <sheetViews>
    <sheetView zoomScale="125" workbookViewId="0"/>
  </sheetViews>
  <sheetFormatPr defaultRowHeight="14.5" x14ac:dyDescent="0.35"/>
  <sheetData>
    <row r="1" spans="1:18" x14ac:dyDescent="0.35">
      <c r="A1" s="3"/>
      <c r="B1" s="3"/>
      <c r="C1" s="3"/>
      <c r="D1" s="3"/>
      <c r="E1" s="3"/>
      <c r="F1" s="3"/>
      <c r="G1" s="3"/>
      <c r="H1" s="3"/>
      <c r="I1" s="3"/>
      <c r="J1" s="3"/>
      <c r="K1" s="3"/>
      <c r="L1" s="3"/>
      <c r="M1" s="3"/>
      <c r="N1" s="3"/>
      <c r="O1" s="3"/>
      <c r="P1" s="3"/>
      <c r="Q1" s="3"/>
      <c r="R1" s="3"/>
    </row>
    <row r="2" spans="1:18" x14ac:dyDescent="0.35">
      <c r="A2" s="3"/>
      <c r="B2" s="3"/>
      <c r="C2" s="3"/>
      <c r="D2" s="3"/>
      <c r="E2" s="3"/>
      <c r="F2" s="3"/>
      <c r="G2" s="3"/>
      <c r="H2" s="3"/>
      <c r="I2" s="3"/>
      <c r="J2" s="3"/>
      <c r="K2" s="3"/>
      <c r="L2" s="3"/>
      <c r="M2" s="3"/>
      <c r="N2" s="3"/>
      <c r="O2" s="3"/>
      <c r="P2" s="3"/>
      <c r="Q2" s="3"/>
      <c r="R2" s="3"/>
    </row>
    <row r="3" spans="1:18" x14ac:dyDescent="0.35">
      <c r="A3" s="3"/>
      <c r="B3" s="3"/>
      <c r="C3" s="3"/>
      <c r="D3" s="3"/>
      <c r="E3" s="3"/>
      <c r="F3" s="3"/>
      <c r="G3" s="3"/>
      <c r="H3" s="3"/>
      <c r="I3" s="3"/>
      <c r="J3" s="3"/>
      <c r="K3" s="3"/>
      <c r="L3" s="3"/>
      <c r="M3" s="3"/>
      <c r="N3" s="3"/>
      <c r="O3" s="3"/>
      <c r="P3" s="3"/>
      <c r="Q3" s="3"/>
      <c r="R3" s="3"/>
    </row>
    <row r="4" spans="1:18" x14ac:dyDescent="0.35">
      <c r="A4" s="3"/>
      <c r="B4" s="3"/>
      <c r="C4" s="3"/>
      <c r="D4" s="3"/>
      <c r="E4" s="3"/>
      <c r="F4" s="3"/>
      <c r="G4" s="3"/>
      <c r="H4" s="3"/>
      <c r="I4" s="3"/>
      <c r="J4" s="3"/>
      <c r="K4" s="3"/>
      <c r="L4" s="3"/>
      <c r="M4" s="3"/>
      <c r="N4" s="3"/>
      <c r="O4" s="3"/>
      <c r="P4" s="3"/>
      <c r="Q4" s="3"/>
      <c r="R4" s="3"/>
    </row>
    <row r="5" spans="1:18" x14ac:dyDescent="0.35">
      <c r="A5" s="3"/>
      <c r="B5" s="3"/>
      <c r="C5" s="3"/>
      <c r="D5" s="3"/>
      <c r="E5" s="3"/>
      <c r="F5" s="3"/>
      <c r="G5" s="3"/>
      <c r="H5" s="3"/>
      <c r="I5" s="3"/>
      <c r="J5" s="3"/>
      <c r="K5" s="3"/>
      <c r="L5" s="3"/>
      <c r="M5" s="3"/>
      <c r="N5" s="3"/>
      <c r="O5" s="3"/>
      <c r="P5" s="3"/>
      <c r="Q5" s="3"/>
      <c r="R5" s="3"/>
    </row>
    <row r="6" spans="1:18" x14ac:dyDescent="0.35">
      <c r="A6" s="3"/>
      <c r="B6" s="3"/>
      <c r="C6" s="3"/>
      <c r="D6" s="3"/>
      <c r="E6" s="3"/>
      <c r="F6" s="3"/>
      <c r="G6" s="3"/>
      <c r="H6" s="3"/>
      <c r="I6" s="3"/>
      <c r="J6" s="3"/>
      <c r="K6" s="3"/>
      <c r="L6" s="3"/>
      <c r="M6" s="3"/>
      <c r="N6" s="3"/>
      <c r="O6" s="3"/>
      <c r="P6" s="3"/>
      <c r="Q6" s="3"/>
      <c r="R6" s="3"/>
    </row>
    <row r="7" spans="1:18" x14ac:dyDescent="0.35">
      <c r="A7" s="3"/>
      <c r="B7" s="3"/>
      <c r="C7" s="3"/>
      <c r="D7" s="3"/>
      <c r="E7" s="3"/>
      <c r="F7" s="3"/>
      <c r="G7" s="3"/>
      <c r="H7" s="3"/>
      <c r="I7" s="3"/>
      <c r="J7" s="3"/>
      <c r="K7" s="3"/>
      <c r="L7" s="3"/>
      <c r="M7" s="3"/>
      <c r="N7" s="3"/>
      <c r="O7" s="3"/>
      <c r="P7" s="3"/>
      <c r="Q7" s="3"/>
      <c r="R7" s="3"/>
    </row>
    <row r="8" spans="1:18" x14ac:dyDescent="0.35">
      <c r="A8" s="3"/>
      <c r="B8" s="3"/>
      <c r="C8" s="3"/>
      <c r="D8" s="3"/>
      <c r="E8" s="3"/>
      <c r="F8" s="3"/>
      <c r="G8" s="3"/>
      <c r="H8" s="3"/>
      <c r="I8" s="3"/>
      <c r="J8" s="3"/>
      <c r="K8" s="3"/>
      <c r="L8" s="3"/>
      <c r="M8" s="3"/>
      <c r="N8" s="3"/>
      <c r="O8" s="3"/>
      <c r="P8" s="3"/>
      <c r="Q8" s="3"/>
      <c r="R8" s="3"/>
    </row>
    <row r="9" spans="1:18" x14ac:dyDescent="0.35">
      <c r="A9" s="3"/>
      <c r="B9" s="3"/>
      <c r="C9" s="3"/>
      <c r="D9" s="3"/>
      <c r="E9" s="3"/>
      <c r="F9" s="3"/>
      <c r="G9" s="3"/>
      <c r="H9" s="3"/>
      <c r="I9" s="3"/>
      <c r="J9" s="3"/>
      <c r="K9" s="3"/>
      <c r="L9" s="3"/>
      <c r="M9" s="3"/>
      <c r="N9" s="3"/>
      <c r="O9" s="3"/>
      <c r="P9" s="3"/>
      <c r="Q9" s="3"/>
      <c r="R9" s="3"/>
    </row>
    <row r="10" spans="1:18" x14ac:dyDescent="0.35">
      <c r="A10" s="3"/>
      <c r="B10" s="3"/>
      <c r="C10" s="3"/>
      <c r="D10" s="3"/>
      <c r="E10" s="3"/>
      <c r="F10" s="3"/>
      <c r="G10" s="3"/>
      <c r="H10" s="3"/>
      <c r="I10" s="3"/>
      <c r="J10" s="3"/>
      <c r="K10" s="3"/>
      <c r="L10" s="3"/>
      <c r="M10" s="3"/>
      <c r="N10" s="3"/>
      <c r="O10" s="3"/>
      <c r="P10" s="3"/>
      <c r="Q10" s="3"/>
      <c r="R10" s="3"/>
    </row>
    <row r="11" spans="1:18" x14ac:dyDescent="0.35">
      <c r="A11" s="3"/>
      <c r="B11" s="3"/>
      <c r="C11" s="3"/>
      <c r="D11" s="3"/>
      <c r="E11" s="3"/>
      <c r="F11" s="3"/>
      <c r="G11" s="3"/>
      <c r="H11" s="3"/>
      <c r="I11" s="3"/>
      <c r="J11" s="3"/>
      <c r="K11" s="3"/>
      <c r="L11" s="3"/>
      <c r="M11" s="3"/>
      <c r="N11" s="3"/>
      <c r="O11" s="3"/>
      <c r="P11" s="3"/>
      <c r="Q11" s="3"/>
      <c r="R11" s="3"/>
    </row>
    <row r="12" spans="1:18" x14ac:dyDescent="0.35">
      <c r="A12" s="3"/>
      <c r="B12" s="3"/>
      <c r="C12" s="3"/>
      <c r="D12" s="3"/>
      <c r="E12" s="3"/>
      <c r="F12" s="3"/>
      <c r="G12" s="3"/>
      <c r="H12" s="3"/>
      <c r="I12" s="3"/>
      <c r="J12" s="3"/>
      <c r="K12" s="3"/>
      <c r="L12" s="3"/>
      <c r="M12" s="3"/>
      <c r="N12" s="3"/>
      <c r="O12" s="3"/>
      <c r="P12" s="3"/>
      <c r="Q12" s="3"/>
      <c r="R12" s="3"/>
    </row>
    <row r="13" spans="1:18" x14ac:dyDescent="0.35">
      <c r="A13" s="3"/>
      <c r="B13" s="3"/>
      <c r="C13" s="3"/>
      <c r="D13" s="3"/>
      <c r="E13" s="3"/>
      <c r="F13" s="3"/>
      <c r="G13" s="3"/>
      <c r="H13" s="3"/>
      <c r="I13" s="3"/>
      <c r="J13" s="3"/>
      <c r="K13" s="3"/>
      <c r="L13" s="3"/>
      <c r="M13" s="3"/>
      <c r="N13" s="3"/>
      <c r="O13" s="3"/>
      <c r="P13" s="3"/>
      <c r="Q13" s="3"/>
      <c r="R13" s="3"/>
    </row>
    <row r="14" spans="1:18" x14ac:dyDescent="0.35">
      <c r="A14" s="3"/>
      <c r="B14" s="3"/>
      <c r="C14" s="3"/>
      <c r="D14" s="3"/>
      <c r="E14" s="3"/>
      <c r="F14" s="3"/>
      <c r="G14" s="3"/>
      <c r="H14" s="3"/>
      <c r="I14" s="3"/>
      <c r="J14" s="3"/>
      <c r="K14" s="3"/>
      <c r="L14" s="3"/>
      <c r="M14" s="3"/>
      <c r="N14" s="3"/>
      <c r="O14" s="3"/>
      <c r="P14" s="3"/>
      <c r="Q14" s="3"/>
      <c r="R14" s="3"/>
    </row>
    <row r="15" spans="1:18" x14ac:dyDescent="0.35">
      <c r="A15" s="3"/>
      <c r="B15" s="3"/>
      <c r="C15" s="3"/>
      <c r="D15" s="3"/>
      <c r="E15" s="3"/>
      <c r="F15" s="3"/>
      <c r="G15" s="3"/>
      <c r="H15" s="3"/>
      <c r="I15" s="3"/>
      <c r="J15" s="3"/>
      <c r="K15" s="3"/>
      <c r="L15" s="3"/>
      <c r="M15" s="3"/>
      <c r="N15" s="3"/>
      <c r="O15" s="3"/>
      <c r="P15" s="3"/>
      <c r="Q15" s="3"/>
      <c r="R15" s="3"/>
    </row>
    <row r="16" spans="1:18" x14ac:dyDescent="0.35">
      <c r="A16" s="3"/>
      <c r="B16" s="3"/>
      <c r="C16" s="3"/>
      <c r="D16" s="3"/>
      <c r="E16" s="3"/>
      <c r="F16" s="3"/>
      <c r="G16" s="3"/>
      <c r="H16" s="3"/>
      <c r="I16" s="3"/>
      <c r="J16" s="3"/>
      <c r="K16" s="3"/>
      <c r="L16" s="3"/>
      <c r="M16" s="3"/>
      <c r="N16" s="3"/>
      <c r="O16" s="3"/>
      <c r="P16" s="3"/>
      <c r="Q16" s="3"/>
      <c r="R16" s="3"/>
    </row>
    <row r="17" spans="1:18" x14ac:dyDescent="0.35">
      <c r="A17" s="3"/>
      <c r="B17" s="3"/>
      <c r="C17" s="3"/>
      <c r="D17" s="3"/>
      <c r="E17" s="3"/>
      <c r="F17" s="3"/>
      <c r="G17" s="3"/>
      <c r="H17" s="3"/>
      <c r="I17" s="3"/>
      <c r="J17" s="3"/>
      <c r="K17" s="3"/>
      <c r="L17" s="3"/>
      <c r="M17" s="3"/>
      <c r="N17" s="3"/>
      <c r="O17" s="3"/>
      <c r="P17" s="3"/>
      <c r="Q17" s="3"/>
      <c r="R17" s="3"/>
    </row>
    <row r="18" spans="1:18" x14ac:dyDescent="0.35">
      <c r="A18" s="3"/>
      <c r="B18" s="3"/>
      <c r="C18" s="3"/>
      <c r="D18" s="3"/>
      <c r="E18" s="3"/>
      <c r="F18" s="3"/>
      <c r="G18" s="3"/>
      <c r="H18" s="3"/>
      <c r="I18" s="3"/>
      <c r="J18" s="3"/>
      <c r="K18" s="3"/>
      <c r="L18" s="3"/>
      <c r="M18" s="3"/>
      <c r="N18" s="3"/>
      <c r="O18" s="3"/>
      <c r="P18" s="3"/>
      <c r="Q18" s="3"/>
      <c r="R18" s="3"/>
    </row>
    <row r="19" spans="1:18" x14ac:dyDescent="0.35">
      <c r="A19" s="3"/>
      <c r="B19" s="3"/>
      <c r="C19" s="3"/>
      <c r="D19" s="3"/>
      <c r="E19" s="3"/>
      <c r="F19" s="3"/>
      <c r="G19" s="3"/>
      <c r="H19" s="3"/>
      <c r="I19" s="3"/>
      <c r="J19" s="3"/>
      <c r="K19" s="3"/>
      <c r="L19" s="3"/>
      <c r="M19" s="3"/>
      <c r="N19" s="3"/>
      <c r="O19" s="3"/>
      <c r="P19" s="3"/>
      <c r="Q19" s="3"/>
      <c r="R19" s="3"/>
    </row>
    <row r="20" spans="1:18" x14ac:dyDescent="0.35">
      <c r="A20" s="3"/>
      <c r="B20" s="3"/>
      <c r="C20" s="3"/>
      <c r="D20" s="3"/>
      <c r="E20" s="3"/>
      <c r="F20" s="3"/>
      <c r="G20" s="3"/>
      <c r="H20" s="3"/>
      <c r="I20" s="3"/>
      <c r="J20" s="3"/>
      <c r="K20" s="3"/>
      <c r="L20" s="3"/>
      <c r="M20" s="3"/>
      <c r="N20" s="3"/>
      <c r="O20" s="3"/>
      <c r="P20" s="3"/>
      <c r="Q20" s="3"/>
      <c r="R20" s="3"/>
    </row>
    <row r="21" spans="1:18" x14ac:dyDescent="0.35">
      <c r="A21" s="3"/>
      <c r="B21" s="3"/>
      <c r="C21" s="3"/>
      <c r="D21" s="3"/>
      <c r="E21" s="3"/>
      <c r="F21" s="3"/>
      <c r="G21" s="3"/>
      <c r="H21" s="3"/>
      <c r="I21" s="3"/>
      <c r="J21" s="3"/>
      <c r="K21" s="3"/>
      <c r="L21" s="3"/>
      <c r="M21" s="3"/>
      <c r="N21" s="3"/>
      <c r="O21" s="3"/>
      <c r="P21" s="3"/>
      <c r="Q21" s="3"/>
      <c r="R21" s="3"/>
    </row>
    <row r="22" spans="1:18" x14ac:dyDescent="0.35">
      <c r="A22" s="3"/>
      <c r="B22" s="3"/>
      <c r="C22" s="3"/>
      <c r="D22" s="3"/>
      <c r="E22" s="3"/>
      <c r="F22" s="3"/>
      <c r="G22" s="3"/>
      <c r="H22" s="3"/>
      <c r="I22" s="3"/>
      <c r="J22" s="3"/>
      <c r="K22" s="3"/>
      <c r="L22" s="3"/>
      <c r="M22" s="3"/>
      <c r="N22" s="3"/>
      <c r="O22" s="3"/>
      <c r="P22" s="3"/>
      <c r="Q22" s="3"/>
      <c r="R22" s="3"/>
    </row>
    <row r="23" spans="1:18" x14ac:dyDescent="0.35">
      <c r="A23" s="3"/>
      <c r="B23" s="3"/>
      <c r="C23" s="3"/>
      <c r="D23" s="3"/>
      <c r="E23" s="3"/>
      <c r="F23" s="3"/>
      <c r="G23" s="3"/>
      <c r="H23" s="3"/>
      <c r="I23" s="3"/>
      <c r="J23" s="3"/>
      <c r="K23" s="3"/>
      <c r="L23" s="3"/>
      <c r="M23" s="3"/>
      <c r="N23" s="3"/>
      <c r="O23" s="3"/>
      <c r="P23" s="3"/>
      <c r="Q23" s="3"/>
      <c r="R23" s="3"/>
    </row>
    <row r="24" spans="1:18" x14ac:dyDescent="0.35">
      <c r="A24" s="3"/>
      <c r="B24" s="3"/>
      <c r="C24" s="3"/>
      <c r="D24" s="3"/>
      <c r="E24" s="3"/>
      <c r="F24" s="3"/>
      <c r="G24" s="3"/>
      <c r="H24" s="3"/>
      <c r="I24" s="3"/>
      <c r="J24" s="3"/>
      <c r="K24" s="3"/>
      <c r="L24" s="3"/>
      <c r="M24" s="3"/>
      <c r="N24" s="3"/>
      <c r="O24" s="3"/>
      <c r="P24" s="3"/>
      <c r="Q24" s="3"/>
      <c r="R24" s="3"/>
    </row>
    <row r="25" spans="1:18" x14ac:dyDescent="0.35">
      <c r="A25" s="3"/>
      <c r="B25" s="3"/>
      <c r="C25" s="3"/>
      <c r="D25" s="3"/>
      <c r="E25" s="3"/>
      <c r="F25" s="3"/>
      <c r="G25" s="3"/>
      <c r="H25" s="3"/>
      <c r="I25" s="3"/>
      <c r="J25" s="3"/>
      <c r="K25" s="3"/>
      <c r="L25" s="3"/>
      <c r="M25" s="3"/>
      <c r="N25" s="3"/>
      <c r="O25" s="3"/>
      <c r="P25" s="3"/>
      <c r="Q25" s="3"/>
      <c r="R25" s="3"/>
    </row>
    <row r="26" spans="1:18" x14ac:dyDescent="0.35">
      <c r="A26" s="3"/>
      <c r="B26" s="3"/>
      <c r="C26" s="3"/>
      <c r="D26" s="3"/>
      <c r="E26" s="3"/>
      <c r="F26" s="3"/>
      <c r="G26" s="3"/>
      <c r="H26" s="3"/>
      <c r="I26" s="3"/>
      <c r="J26" s="3"/>
      <c r="K26" s="3"/>
      <c r="L26" s="3"/>
      <c r="M26" s="3"/>
      <c r="N26" s="3"/>
      <c r="O26" s="3"/>
      <c r="P26" s="3"/>
      <c r="Q26" s="3"/>
      <c r="R26" s="3"/>
    </row>
    <row r="27" spans="1:18" x14ac:dyDescent="0.35">
      <c r="A27" s="3"/>
      <c r="B27" s="3"/>
      <c r="C27" s="3"/>
      <c r="D27" s="3"/>
      <c r="E27" s="3"/>
      <c r="F27" s="3"/>
      <c r="G27" s="3"/>
      <c r="H27" s="3"/>
      <c r="I27" s="3"/>
      <c r="J27" s="3"/>
      <c r="K27" s="3"/>
      <c r="L27" s="3"/>
      <c r="M27" s="3"/>
      <c r="N27" s="3"/>
      <c r="O27" s="3"/>
      <c r="P27" s="3"/>
      <c r="Q27" s="3"/>
      <c r="R27"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2D597-C1E5-49B9-980D-2C45BC59AAF4}">
  <dimension ref="A1:S25"/>
  <sheetViews>
    <sheetView tabSelected="1" zoomScale="138" zoomScaleNormal="134" workbookViewId="0">
      <selection activeCell="G20" sqref="G20"/>
    </sheetView>
  </sheetViews>
  <sheetFormatPr defaultRowHeight="14.5" x14ac:dyDescent="0.35"/>
  <sheetData>
    <row r="1" spans="1:19" x14ac:dyDescent="0.35">
      <c r="A1" s="9"/>
      <c r="B1" s="9"/>
      <c r="C1" s="9"/>
      <c r="D1" s="9"/>
      <c r="E1" s="9"/>
      <c r="F1" s="9"/>
      <c r="G1" s="9"/>
      <c r="H1" s="9"/>
      <c r="I1" s="9"/>
      <c r="J1" s="9"/>
      <c r="K1" s="9"/>
      <c r="L1" s="9"/>
      <c r="M1" s="9"/>
      <c r="N1" s="2"/>
      <c r="O1" s="2"/>
      <c r="P1" s="2"/>
      <c r="Q1" s="2"/>
      <c r="R1" s="2"/>
      <c r="S1" s="2"/>
    </row>
    <row r="2" spans="1:19" x14ac:dyDescent="0.35">
      <c r="A2" s="9"/>
      <c r="B2" s="9"/>
      <c r="C2" s="9"/>
      <c r="D2" s="9"/>
      <c r="E2" s="9"/>
      <c r="F2" s="9"/>
      <c r="G2" s="9"/>
      <c r="H2" s="9"/>
      <c r="I2" s="9"/>
      <c r="J2" s="9"/>
      <c r="K2" s="9"/>
      <c r="L2" s="9"/>
      <c r="M2" s="9"/>
      <c r="N2" s="2"/>
      <c r="O2" s="2"/>
      <c r="P2" s="2"/>
      <c r="Q2" s="2"/>
      <c r="R2" s="2"/>
      <c r="S2" s="2"/>
    </row>
    <row r="3" spans="1:19" x14ac:dyDescent="0.35">
      <c r="A3" s="9"/>
      <c r="B3" s="9"/>
      <c r="C3" s="9"/>
      <c r="D3" s="9"/>
      <c r="E3" s="9"/>
      <c r="F3" s="9"/>
      <c r="G3" s="9"/>
      <c r="H3" s="9"/>
      <c r="I3" s="9"/>
      <c r="J3" s="9"/>
      <c r="K3" s="9"/>
      <c r="L3" s="9"/>
      <c r="M3" s="9"/>
      <c r="N3" s="2"/>
      <c r="O3" s="2"/>
      <c r="P3" s="2"/>
      <c r="Q3" s="2"/>
      <c r="R3" s="2"/>
      <c r="S3" s="2"/>
    </row>
    <row r="4" spans="1:19" x14ac:dyDescent="0.35">
      <c r="A4" s="9"/>
      <c r="B4" s="9"/>
      <c r="C4" s="9"/>
      <c r="D4" s="9"/>
      <c r="E4" s="9"/>
      <c r="F4" s="9"/>
      <c r="G4" s="9"/>
      <c r="H4" s="9"/>
      <c r="I4" s="9"/>
      <c r="J4" s="9"/>
      <c r="K4" s="9"/>
      <c r="L4" s="9"/>
      <c r="M4" s="9"/>
      <c r="N4" s="2"/>
      <c r="O4" s="2"/>
      <c r="P4" s="2"/>
      <c r="Q4" s="2"/>
      <c r="R4" s="2"/>
      <c r="S4" s="2"/>
    </row>
    <row r="5" spans="1:19" x14ac:dyDescent="0.35">
      <c r="A5" s="9"/>
      <c r="B5" s="9"/>
      <c r="C5" s="9"/>
      <c r="D5" s="9"/>
      <c r="E5" s="9"/>
      <c r="F5" s="9"/>
      <c r="G5" s="9"/>
      <c r="H5" s="9"/>
      <c r="I5" s="9"/>
      <c r="J5" s="9"/>
      <c r="K5" s="9"/>
      <c r="L5" s="9"/>
      <c r="M5" s="9"/>
      <c r="N5" s="2"/>
      <c r="O5" s="2"/>
      <c r="P5" s="2"/>
      <c r="Q5" s="2"/>
      <c r="R5" s="2"/>
      <c r="S5" s="2"/>
    </row>
    <row r="6" spans="1:19" x14ac:dyDescent="0.35">
      <c r="A6" s="9"/>
      <c r="B6" s="9"/>
      <c r="C6" s="9"/>
      <c r="D6" s="9"/>
      <c r="E6" s="9"/>
      <c r="F6" s="9"/>
      <c r="G6" s="9"/>
      <c r="H6" s="9"/>
      <c r="I6" s="9"/>
      <c r="J6" s="9"/>
      <c r="K6" s="9"/>
      <c r="L6" s="9"/>
      <c r="M6" s="9"/>
      <c r="N6" s="2"/>
      <c r="O6" s="2"/>
      <c r="P6" s="2"/>
      <c r="Q6" s="2"/>
      <c r="R6" s="2"/>
      <c r="S6" s="2"/>
    </row>
    <row r="7" spans="1:19" x14ac:dyDescent="0.35">
      <c r="A7" s="9"/>
      <c r="B7" s="9"/>
      <c r="C7" s="9"/>
      <c r="D7" s="9"/>
      <c r="E7" s="9"/>
      <c r="F7" s="9"/>
      <c r="G7" s="9"/>
      <c r="H7" s="9"/>
      <c r="I7" s="9"/>
      <c r="J7" s="9"/>
      <c r="K7" s="9"/>
      <c r="L7" s="9"/>
      <c r="M7" s="9"/>
      <c r="N7" s="2"/>
      <c r="O7" s="2"/>
      <c r="P7" s="2"/>
      <c r="Q7" s="2"/>
      <c r="R7" s="2"/>
      <c r="S7" s="2"/>
    </row>
    <row r="8" spans="1:19" x14ac:dyDescent="0.35">
      <c r="A8" s="9"/>
      <c r="B8" s="9"/>
      <c r="C8" s="9"/>
      <c r="D8" s="9"/>
      <c r="E8" s="9"/>
      <c r="F8" s="9"/>
      <c r="G8" s="9"/>
      <c r="H8" s="9"/>
      <c r="I8" s="9"/>
      <c r="J8" s="9"/>
      <c r="K8" s="9"/>
      <c r="L8" s="9"/>
      <c r="M8" s="9"/>
      <c r="N8" s="2"/>
      <c r="O8" s="2"/>
      <c r="P8" s="2"/>
      <c r="Q8" s="2"/>
      <c r="R8" s="2"/>
      <c r="S8" s="2"/>
    </row>
    <row r="9" spans="1:19" x14ac:dyDescent="0.35">
      <c r="A9" s="9"/>
      <c r="B9" s="9"/>
      <c r="C9" s="9"/>
      <c r="D9" s="9"/>
      <c r="E9" s="9"/>
      <c r="F9" s="9"/>
      <c r="G9" s="9"/>
      <c r="H9" s="9"/>
      <c r="I9" s="9"/>
      <c r="J9" s="9"/>
      <c r="K9" s="9"/>
      <c r="L9" s="9"/>
      <c r="M9" s="9"/>
      <c r="N9" s="2"/>
      <c r="O9" s="2"/>
      <c r="P9" s="2"/>
      <c r="Q9" s="2"/>
      <c r="R9" s="2"/>
      <c r="S9" s="2"/>
    </row>
    <row r="10" spans="1:19" x14ac:dyDescent="0.35">
      <c r="A10" s="9"/>
      <c r="B10" s="9"/>
      <c r="C10" s="9"/>
      <c r="D10" s="9"/>
      <c r="E10" s="9"/>
      <c r="F10" s="9"/>
      <c r="G10" s="9"/>
      <c r="H10" s="9"/>
      <c r="I10" s="9"/>
      <c r="J10" s="9"/>
      <c r="K10" s="9"/>
      <c r="L10" s="9"/>
      <c r="M10" s="9"/>
      <c r="N10" s="2"/>
      <c r="O10" s="2"/>
      <c r="P10" s="2"/>
      <c r="Q10" s="2"/>
      <c r="R10" s="2"/>
      <c r="S10" s="2"/>
    </row>
    <row r="11" spans="1:19" x14ac:dyDescent="0.35">
      <c r="A11" s="9"/>
      <c r="B11" s="9"/>
      <c r="C11" s="9"/>
      <c r="D11" s="9"/>
      <c r="E11" s="9"/>
      <c r="F11" s="9"/>
      <c r="G11" s="9"/>
      <c r="H11" s="9"/>
      <c r="I11" s="9"/>
      <c r="J11" s="9"/>
      <c r="K11" s="9"/>
      <c r="L11" s="9"/>
      <c r="M11" s="9"/>
      <c r="N11" s="2"/>
      <c r="O11" s="2"/>
      <c r="P11" s="2"/>
      <c r="Q11" s="2"/>
      <c r="R11" s="2"/>
      <c r="S11" s="2"/>
    </row>
    <row r="12" spans="1:19" x14ac:dyDescent="0.35">
      <c r="A12" s="9"/>
      <c r="B12" s="9"/>
      <c r="C12" s="9"/>
      <c r="D12" s="9"/>
      <c r="E12" s="9"/>
      <c r="F12" s="9"/>
      <c r="G12" s="9"/>
      <c r="H12" s="9"/>
      <c r="I12" s="9"/>
      <c r="J12" s="9"/>
      <c r="K12" s="9"/>
      <c r="L12" s="9"/>
      <c r="M12" s="9"/>
      <c r="N12" s="2"/>
      <c r="O12" s="2"/>
      <c r="P12" s="2"/>
      <c r="Q12" s="2"/>
      <c r="R12" s="2"/>
      <c r="S12" s="2"/>
    </row>
    <row r="13" spans="1:19" x14ac:dyDescent="0.35">
      <c r="A13" s="9"/>
      <c r="B13" s="9"/>
      <c r="C13" s="9"/>
      <c r="D13" s="9"/>
      <c r="E13" s="9"/>
      <c r="F13" s="9"/>
      <c r="G13" s="9"/>
      <c r="H13" s="9"/>
      <c r="I13" s="9"/>
      <c r="J13" s="9"/>
      <c r="K13" s="9"/>
      <c r="L13" s="9"/>
      <c r="M13" s="9"/>
      <c r="N13" s="2"/>
      <c r="O13" s="2"/>
      <c r="P13" s="2"/>
      <c r="Q13" s="2"/>
      <c r="R13" s="2"/>
      <c r="S13" s="2"/>
    </row>
    <row r="14" spans="1:19" x14ac:dyDescent="0.35">
      <c r="A14" s="9"/>
      <c r="B14" s="9"/>
      <c r="C14" s="9"/>
      <c r="D14" s="9"/>
      <c r="E14" s="9"/>
      <c r="F14" s="9"/>
      <c r="G14" s="9"/>
      <c r="H14" s="9"/>
      <c r="I14" s="9"/>
      <c r="J14" s="9"/>
      <c r="K14" s="9"/>
      <c r="L14" s="9"/>
      <c r="M14" s="9"/>
      <c r="N14" s="2"/>
      <c r="O14" s="2"/>
      <c r="P14" s="2"/>
      <c r="Q14" s="2"/>
      <c r="R14" s="2"/>
      <c r="S14" s="2"/>
    </row>
    <row r="15" spans="1:19" x14ac:dyDescent="0.35">
      <c r="A15" s="9"/>
      <c r="B15" s="9"/>
      <c r="C15" s="9"/>
      <c r="D15" s="9"/>
      <c r="E15" s="9"/>
      <c r="F15" s="9"/>
      <c r="G15" s="9"/>
      <c r="H15" s="9"/>
      <c r="I15" s="9"/>
      <c r="J15" s="9"/>
      <c r="K15" s="9"/>
      <c r="L15" s="9"/>
      <c r="M15" s="9"/>
      <c r="N15" s="2"/>
      <c r="O15" s="2"/>
      <c r="P15" s="2"/>
      <c r="Q15" s="2"/>
      <c r="R15" s="2"/>
      <c r="S15" s="2"/>
    </row>
    <row r="16" spans="1:19" x14ac:dyDescent="0.35">
      <c r="A16" s="9"/>
      <c r="B16" s="9"/>
      <c r="C16" s="9"/>
      <c r="D16" s="9"/>
      <c r="E16" s="9"/>
      <c r="F16" s="9"/>
      <c r="G16" s="9"/>
      <c r="H16" s="9"/>
      <c r="I16" s="9"/>
      <c r="J16" s="9"/>
      <c r="K16" s="9"/>
      <c r="L16" s="9"/>
      <c r="M16" s="9"/>
      <c r="N16" s="2"/>
      <c r="O16" s="2"/>
      <c r="P16" s="2"/>
      <c r="Q16" s="2"/>
      <c r="R16" s="2"/>
      <c r="S16" s="2"/>
    </row>
    <row r="17" spans="1:19" x14ac:dyDescent="0.35">
      <c r="A17" s="2"/>
      <c r="B17" s="2"/>
      <c r="C17" s="2"/>
      <c r="D17" s="2"/>
      <c r="E17" s="2"/>
      <c r="F17" s="2"/>
      <c r="G17" s="2"/>
      <c r="H17" s="2"/>
      <c r="I17" s="2"/>
      <c r="J17" s="2"/>
      <c r="K17" s="2"/>
      <c r="L17" s="2"/>
      <c r="M17" s="2"/>
      <c r="N17" s="2"/>
      <c r="O17" s="2"/>
      <c r="P17" s="2"/>
      <c r="Q17" s="2"/>
      <c r="R17" s="2"/>
      <c r="S17" s="2"/>
    </row>
    <row r="18" spans="1:19" x14ac:dyDescent="0.35">
      <c r="A18" s="2"/>
      <c r="B18" s="2"/>
      <c r="C18" s="2"/>
      <c r="D18" s="2"/>
      <c r="E18" s="2"/>
      <c r="F18" s="2"/>
      <c r="G18" s="2"/>
      <c r="H18" s="2"/>
      <c r="I18" s="2"/>
      <c r="J18" s="2"/>
      <c r="K18" s="2"/>
      <c r="L18" s="2"/>
      <c r="M18" s="2"/>
      <c r="N18" s="2"/>
      <c r="O18" s="2"/>
      <c r="P18" s="2"/>
      <c r="Q18" s="2"/>
      <c r="R18" s="2"/>
      <c r="S18" s="2"/>
    </row>
    <row r="19" spans="1:19" x14ac:dyDescent="0.35">
      <c r="A19" s="2"/>
      <c r="B19" s="2"/>
      <c r="C19" s="2"/>
      <c r="D19" s="2"/>
      <c r="E19" s="2"/>
      <c r="F19" s="2"/>
      <c r="G19" s="2"/>
      <c r="H19" s="2"/>
      <c r="I19" s="2"/>
      <c r="J19" s="2"/>
      <c r="K19" s="2"/>
      <c r="L19" s="2"/>
      <c r="M19" s="2"/>
      <c r="N19" s="2"/>
      <c r="O19" s="2"/>
      <c r="P19" s="2"/>
      <c r="Q19" s="2"/>
      <c r="R19" s="2"/>
      <c r="S19" s="2"/>
    </row>
    <row r="20" spans="1:19" x14ac:dyDescent="0.35">
      <c r="A20" s="2"/>
      <c r="B20" s="2"/>
      <c r="C20" s="2"/>
      <c r="D20" s="2"/>
      <c r="E20" s="2"/>
      <c r="F20" s="2"/>
      <c r="G20" s="2"/>
      <c r="H20" s="2"/>
      <c r="I20" s="2"/>
      <c r="J20" s="2"/>
      <c r="K20" s="2"/>
      <c r="L20" s="2"/>
      <c r="M20" s="2"/>
      <c r="N20" s="2"/>
      <c r="O20" s="2"/>
      <c r="P20" s="2"/>
      <c r="Q20" s="2"/>
      <c r="R20" s="2"/>
      <c r="S20" s="2"/>
    </row>
    <row r="21" spans="1:19" x14ac:dyDescent="0.35">
      <c r="A21" s="2"/>
      <c r="B21" s="2"/>
      <c r="C21" s="2"/>
      <c r="D21" s="2"/>
      <c r="E21" s="2"/>
      <c r="F21" s="2"/>
      <c r="G21" s="2"/>
      <c r="H21" s="2"/>
      <c r="I21" s="2"/>
      <c r="J21" s="2"/>
      <c r="K21" s="2"/>
      <c r="L21" s="2"/>
      <c r="M21" s="2"/>
      <c r="N21" s="2"/>
      <c r="O21" s="2"/>
      <c r="P21" s="2"/>
      <c r="Q21" s="2"/>
      <c r="R21" s="2"/>
      <c r="S21" s="2"/>
    </row>
    <row r="22" spans="1:19" x14ac:dyDescent="0.35">
      <c r="A22" s="2"/>
      <c r="B22" s="2"/>
      <c r="C22" s="2"/>
      <c r="D22" s="2"/>
      <c r="E22" s="2"/>
      <c r="F22" s="2"/>
      <c r="G22" s="2"/>
      <c r="H22" s="2"/>
      <c r="I22" s="2"/>
      <c r="J22" s="2"/>
      <c r="K22" s="2"/>
      <c r="L22" s="2"/>
      <c r="M22" s="2"/>
      <c r="N22" s="2"/>
      <c r="O22" s="2"/>
      <c r="P22" s="2"/>
      <c r="Q22" s="2"/>
      <c r="R22" s="2"/>
      <c r="S22" s="2"/>
    </row>
    <row r="23" spans="1:19" x14ac:dyDescent="0.35">
      <c r="A23" s="2"/>
      <c r="B23" s="2"/>
      <c r="C23" s="2"/>
      <c r="D23" s="2"/>
      <c r="E23" s="2"/>
      <c r="F23" s="2"/>
      <c r="G23" s="2"/>
      <c r="H23" s="2"/>
      <c r="I23" s="2"/>
      <c r="J23" s="2"/>
      <c r="K23" s="2"/>
      <c r="L23" s="2"/>
      <c r="M23" s="2"/>
      <c r="N23" s="2"/>
      <c r="O23" s="2"/>
      <c r="P23" s="2"/>
      <c r="Q23" s="2"/>
      <c r="R23" s="2"/>
      <c r="S23" s="2"/>
    </row>
    <row r="24" spans="1:19" x14ac:dyDescent="0.35">
      <c r="A24" s="2"/>
      <c r="B24" s="2"/>
      <c r="C24" s="2"/>
      <c r="D24" s="2"/>
      <c r="E24" s="2"/>
      <c r="F24" s="2"/>
      <c r="G24" s="2"/>
      <c r="H24" s="2"/>
      <c r="I24" s="2"/>
      <c r="J24" s="2"/>
      <c r="K24" s="2"/>
      <c r="L24" s="2"/>
      <c r="M24" s="2"/>
      <c r="N24" s="2"/>
      <c r="O24" s="2"/>
      <c r="P24" s="2"/>
      <c r="Q24" s="2"/>
      <c r="R24" s="2"/>
      <c r="S24" s="2"/>
    </row>
    <row r="25" spans="1:19" x14ac:dyDescent="0.35">
      <c r="A25" s="2"/>
      <c r="B25" s="2"/>
      <c r="C25" s="2"/>
      <c r="D25" s="2"/>
      <c r="E25" s="2"/>
      <c r="F25" s="2"/>
      <c r="G25" s="2"/>
      <c r="H25" s="2"/>
      <c r="I25" s="2"/>
      <c r="J25" s="2"/>
      <c r="K25" s="2"/>
      <c r="L25" s="2"/>
      <c r="M25" s="2"/>
      <c r="N25" s="2"/>
      <c r="O25" s="2"/>
      <c r="P25" s="2"/>
      <c r="Q25" s="2"/>
      <c r="R25" s="2"/>
      <c r="S2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F166-23F7-4BC9-8DBD-8BD201E5CF89}">
  <dimension ref="A1:S24"/>
  <sheetViews>
    <sheetView zoomScale="97" workbookViewId="0"/>
  </sheetViews>
  <sheetFormatPr defaultRowHeight="14.5" x14ac:dyDescent="0.35"/>
  <sheetData>
    <row r="1" spans="1:19" x14ac:dyDescent="0.35">
      <c r="A1" s="3"/>
      <c r="B1" s="3"/>
      <c r="C1" s="3"/>
      <c r="D1" s="3"/>
      <c r="E1" s="3"/>
      <c r="F1" s="3"/>
      <c r="G1" s="3"/>
      <c r="H1" s="3"/>
      <c r="I1" s="3"/>
      <c r="J1" s="3"/>
      <c r="K1" s="3"/>
      <c r="L1" s="3"/>
      <c r="M1" s="3"/>
      <c r="N1" s="3"/>
      <c r="O1" s="3"/>
      <c r="P1" s="3"/>
      <c r="Q1" s="3"/>
      <c r="R1" s="3"/>
      <c r="S1" s="3"/>
    </row>
    <row r="2" spans="1:19" x14ac:dyDescent="0.35">
      <c r="A2" s="3"/>
      <c r="B2" s="3"/>
      <c r="C2" s="3"/>
      <c r="D2" s="3"/>
      <c r="E2" s="3"/>
      <c r="F2" s="3"/>
      <c r="G2" s="3"/>
      <c r="H2" s="3"/>
      <c r="I2" s="3"/>
      <c r="J2" s="3"/>
      <c r="K2" s="3"/>
      <c r="L2" s="3"/>
      <c r="M2" s="3"/>
      <c r="N2" s="3"/>
      <c r="O2" s="3"/>
      <c r="P2" s="3"/>
      <c r="Q2" s="3"/>
      <c r="R2" s="3"/>
      <c r="S2" s="3"/>
    </row>
    <row r="3" spans="1:19" x14ac:dyDescent="0.35">
      <c r="A3" s="3"/>
      <c r="B3" s="3"/>
      <c r="C3" s="3"/>
      <c r="D3" s="3"/>
      <c r="E3" s="3"/>
      <c r="F3" s="3"/>
      <c r="G3" s="3"/>
      <c r="H3" s="3"/>
      <c r="I3" s="3"/>
      <c r="J3" s="3"/>
      <c r="K3" s="3"/>
      <c r="L3" s="3"/>
      <c r="M3" s="3"/>
      <c r="N3" s="3"/>
      <c r="O3" s="3"/>
      <c r="P3" s="3"/>
      <c r="Q3" s="3"/>
      <c r="R3" s="3"/>
      <c r="S3" s="3"/>
    </row>
    <row r="4" spans="1:19" x14ac:dyDescent="0.35">
      <c r="A4" s="3"/>
      <c r="B4" s="3"/>
      <c r="C4" s="3"/>
      <c r="D4" s="3"/>
      <c r="E4" s="3"/>
      <c r="F4" s="3"/>
      <c r="G4" s="3"/>
      <c r="H4" s="3"/>
      <c r="I4" s="3"/>
      <c r="J4" s="3"/>
      <c r="K4" s="3"/>
      <c r="L4" s="3"/>
      <c r="M4" s="3"/>
      <c r="N4" s="3"/>
      <c r="O4" s="3"/>
      <c r="P4" s="3"/>
      <c r="Q4" s="3"/>
      <c r="R4" s="3"/>
      <c r="S4" s="3"/>
    </row>
    <row r="5" spans="1:19" x14ac:dyDescent="0.35">
      <c r="A5" s="3"/>
      <c r="B5" s="3"/>
      <c r="C5" s="3"/>
      <c r="D5" s="3"/>
      <c r="E5" s="3"/>
      <c r="F5" s="3"/>
      <c r="G5" s="3"/>
      <c r="H5" s="3"/>
      <c r="I5" s="3"/>
      <c r="J5" s="3"/>
      <c r="K5" s="3"/>
      <c r="L5" s="3"/>
      <c r="M5" s="3"/>
      <c r="N5" s="3"/>
      <c r="O5" s="3"/>
      <c r="P5" s="3"/>
      <c r="Q5" s="3"/>
      <c r="R5" s="3"/>
      <c r="S5" s="3"/>
    </row>
    <row r="6" spans="1:19" x14ac:dyDescent="0.35">
      <c r="A6" s="3"/>
      <c r="B6" s="3"/>
      <c r="C6" s="3"/>
      <c r="D6" s="3"/>
      <c r="E6" s="3"/>
      <c r="F6" s="3"/>
      <c r="G6" s="3"/>
      <c r="H6" s="3"/>
      <c r="I6" s="3"/>
      <c r="J6" s="3"/>
      <c r="K6" s="3"/>
      <c r="L6" s="3"/>
      <c r="M6" s="3"/>
      <c r="N6" s="3"/>
      <c r="O6" s="3"/>
      <c r="P6" s="3"/>
      <c r="Q6" s="3"/>
      <c r="R6" s="3"/>
      <c r="S6" s="3"/>
    </row>
    <row r="7" spans="1:19" x14ac:dyDescent="0.35">
      <c r="A7" s="3"/>
      <c r="B7" s="3"/>
      <c r="C7" s="3"/>
      <c r="D7" s="3"/>
      <c r="E7" s="3"/>
      <c r="F7" s="3"/>
      <c r="G7" s="3"/>
      <c r="H7" s="3"/>
      <c r="I7" s="3"/>
      <c r="J7" s="3"/>
      <c r="K7" s="3"/>
      <c r="L7" s="3"/>
      <c r="M7" s="3"/>
      <c r="N7" s="3"/>
      <c r="O7" s="3"/>
      <c r="P7" s="3"/>
      <c r="Q7" s="3"/>
      <c r="R7" s="3"/>
      <c r="S7" s="3"/>
    </row>
    <row r="8" spans="1:19" x14ac:dyDescent="0.35">
      <c r="A8" s="3"/>
      <c r="B8" s="3"/>
      <c r="C8" s="3"/>
      <c r="D8" s="3"/>
      <c r="E8" s="3"/>
      <c r="F8" s="3"/>
      <c r="G8" s="3"/>
      <c r="H8" s="3"/>
      <c r="I8" s="3"/>
      <c r="J8" s="3"/>
      <c r="K8" s="3"/>
      <c r="L8" s="3"/>
      <c r="M8" s="3"/>
      <c r="N8" s="3"/>
      <c r="O8" s="3"/>
      <c r="P8" s="3"/>
      <c r="Q8" s="3"/>
      <c r="R8" s="3"/>
      <c r="S8" s="3"/>
    </row>
    <row r="9" spans="1:19" x14ac:dyDescent="0.35">
      <c r="A9" s="3"/>
      <c r="B9" s="3"/>
      <c r="C9" s="3"/>
      <c r="D9" s="3"/>
      <c r="E9" s="3"/>
      <c r="F9" s="3"/>
      <c r="G9" s="3"/>
      <c r="H9" s="3"/>
      <c r="I9" s="3"/>
      <c r="J9" s="3"/>
      <c r="K9" s="3"/>
      <c r="L9" s="3"/>
      <c r="M9" s="3"/>
      <c r="N9" s="3"/>
      <c r="O9" s="3"/>
      <c r="P9" s="3"/>
      <c r="Q9" s="3"/>
      <c r="R9" s="3"/>
      <c r="S9" s="3"/>
    </row>
    <row r="10" spans="1:19" x14ac:dyDescent="0.35">
      <c r="A10" s="3"/>
      <c r="B10" s="3"/>
      <c r="C10" s="3"/>
      <c r="D10" s="3"/>
      <c r="E10" s="3"/>
      <c r="F10" s="3"/>
      <c r="G10" s="3"/>
      <c r="H10" s="3"/>
      <c r="I10" s="3"/>
      <c r="J10" s="3"/>
      <c r="K10" s="3"/>
      <c r="L10" s="3"/>
      <c r="M10" s="3"/>
      <c r="N10" s="3"/>
      <c r="O10" s="3"/>
      <c r="P10" s="3"/>
      <c r="Q10" s="3"/>
      <c r="R10" s="3"/>
      <c r="S10" s="3"/>
    </row>
    <row r="11" spans="1:19" x14ac:dyDescent="0.35">
      <c r="A11" s="3"/>
      <c r="B11" s="3"/>
      <c r="C11" s="3"/>
      <c r="D11" s="3"/>
      <c r="E11" s="3"/>
      <c r="F11" s="3"/>
      <c r="G11" s="3"/>
      <c r="H11" s="3"/>
      <c r="I11" s="3"/>
      <c r="J11" s="3"/>
      <c r="K11" s="3"/>
      <c r="L11" s="3"/>
      <c r="M11" s="3"/>
      <c r="N11" s="3"/>
      <c r="O11" s="3"/>
      <c r="P11" s="3"/>
      <c r="Q11" s="3"/>
      <c r="R11" s="3"/>
      <c r="S11" s="3"/>
    </row>
    <row r="12" spans="1:19" x14ac:dyDescent="0.35">
      <c r="A12" s="3"/>
      <c r="B12" s="3"/>
      <c r="C12" s="3"/>
      <c r="D12" s="3"/>
      <c r="E12" s="3"/>
      <c r="F12" s="3"/>
      <c r="G12" s="3"/>
      <c r="H12" s="3"/>
      <c r="I12" s="3"/>
      <c r="J12" s="3"/>
      <c r="K12" s="3"/>
      <c r="L12" s="3"/>
      <c r="M12" s="3"/>
      <c r="N12" s="3"/>
      <c r="O12" s="3"/>
      <c r="P12" s="3"/>
      <c r="Q12" s="3"/>
      <c r="R12" s="3"/>
      <c r="S12" s="3"/>
    </row>
    <row r="13" spans="1:19" x14ac:dyDescent="0.35">
      <c r="A13" s="3"/>
      <c r="B13" s="3"/>
      <c r="C13" s="3"/>
      <c r="D13" s="3"/>
      <c r="E13" s="3"/>
      <c r="F13" s="3"/>
      <c r="G13" s="3"/>
      <c r="H13" s="3"/>
      <c r="I13" s="3"/>
      <c r="J13" s="3"/>
      <c r="K13" s="3"/>
      <c r="L13" s="3"/>
      <c r="M13" s="3"/>
      <c r="N13" s="3"/>
      <c r="O13" s="3"/>
      <c r="P13" s="3"/>
      <c r="Q13" s="3"/>
      <c r="R13" s="3"/>
      <c r="S13" s="3"/>
    </row>
    <row r="14" spans="1:19" x14ac:dyDescent="0.35">
      <c r="A14" s="3"/>
      <c r="B14" s="3"/>
      <c r="C14" s="3"/>
      <c r="D14" s="3"/>
      <c r="E14" s="3"/>
      <c r="F14" s="3"/>
      <c r="G14" s="3"/>
      <c r="H14" s="3"/>
      <c r="I14" s="3"/>
      <c r="J14" s="3"/>
      <c r="K14" s="3"/>
      <c r="L14" s="3"/>
      <c r="M14" s="3"/>
      <c r="N14" s="3"/>
      <c r="O14" s="3"/>
      <c r="P14" s="3"/>
      <c r="Q14" s="3"/>
      <c r="R14" s="3"/>
      <c r="S14" s="3"/>
    </row>
    <row r="15" spans="1:19" x14ac:dyDescent="0.35">
      <c r="A15" s="3"/>
      <c r="B15" s="3"/>
      <c r="C15" s="3"/>
      <c r="D15" s="3"/>
      <c r="E15" s="3"/>
      <c r="F15" s="3"/>
      <c r="G15" s="3"/>
      <c r="H15" s="3"/>
      <c r="I15" s="3"/>
      <c r="J15" s="3"/>
      <c r="K15" s="3"/>
      <c r="L15" s="3"/>
      <c r="M15" s="3"/>
      <c r="N15" s="3"/>
      <c r="O15" s="3"/>
      <c r="P15" s="3"/>
      <c r="Q15" s="3"/>
      <c r="R15" s="3"/>
      <c r="S15" s="3"/>
    </row>
    <row r="16" spans="1:19" x14ac:dyDescent="0.35">
      <c r="A16" s="3"/>
      <c r="B16" s="3"/>
      <c r="C16" s="3"/>
      <c r="D16" s="3"/>
      <c r="E16" s="3"/>
      <c r="F16" s="3"/>
      <c r="G16" s="3"/>
      <c r="H16" s="3"/>
      <c r="I16" s="3"/>
      <c r="J16" s="3"/>
      <c r="K16" s="3"/>
      <c r="L16" s="3"/>
      <c r="M16" s="3"/>
      <c r="N16" s="3"/>
      <c r="O16" s="3"/>
      <c r="P16" s="3"/>
      <c r="Q16" s="3"/>
      <c r="R16" s="3"/>
      <c r="S16" s="3"/>
    </row>
    <row r="17" spans="1:19" x14ac:dyDescent="0.35">
      <c r="A17" s="3"/>
      <c r="B17" s="3"/>
      <c r="C17" s="3"/>
      <c r="D17" s="3"/>
      <c r="E17" s="3"/>
      <c r="F17" s="3"/>
      <c r="G17" s="3"/>
      <c r="H17" s="3"/>
      <c r="I17" s="3"/>
      <c r="J17" s="3"/>
      <c r="K17" s="3"/>
      <c r="L17" s="3"/>
      <c r="M17" s="3"/>
      <c r="N17" s="3"/>
      <c r="O17" s="3"/>
      <c r="P17" s="3"/>
      <c r="Q17" s="3"/>
      <c r="R17" s="3"/>
      <c r="S17" s="3"/>
    </row>
    <row r="18" spans="1:19" x14ac:dyDescent="0.35">
      <c r="A18" s="3"/>
      <c r="B18" s="3"/>
      <c r="C18" s="3"/>
      <c r="D18" s="3"/>
      <c r="E18" s="3"/>
      <c r="F18" s="3"/>
      <c r="G18" s="3"/>
      <c r="H18" s="3"/>
      <c r="I18" s="3"/>
      <c r="J18" s="3"/>
      <c r="K18" s="3"/>
      <c r="L18" s="3"/>
      <c r="M18" s="3"/>
      <c r="N18" s="3"/>
      <c r="O18" s="3"/>
      <c r="P18" s="3"/>
      <c r="Q18" s="3"/>
      <c r="R18" s="3"/>
      <c r="S18" s="3"/>
    </row>
    <row r="19" spans="1:19" x14ac:dyDescent="0.35">
      <c r="A19" s="3"/>
      <c r="B19" s="3"/>
      <c r="C19" s="3"/>
      <c r="D19" s="3"/>
      <c r="E19" s="3"/>
      <c r="F19" s="3"/>
      <c r="G19" s="3"/>
      <c r="H19" s="3"/>
      <c r="I19" s="3"/>
      <c r="J19" s="3"/>
      <c r="K19" s="3"/>
      <c r="L19" s="3"/>
      <c r="M19" s="3"/>
      <c r="N19" s="3"/>
      <c r="O19" s="3"/>
      <c r="P19" s="3"/>
      <c r="Q19" s="3"/>
      <c r="R19" s="3"/>
      <c r="S19" s="3"/>
    </row>
    <row r="20" spans="1:19" x14ac:dyDescent="0.35">
      <c r="A20" s="3"/>
      <c r="B20" s="3"/>
      <c r="C20" s="3"/>
      <c r="D20" s="3"/>
      <c r="E20" s="3"/>
      <c r="F20" s="3"/>
      <c r="G20" s="3"/>
      <c r="H20" s="3"/>
      <c r="I20" s="3"/>
      <c r="J20" s="3"/>
      <c r="K20" s="3"/>
      <c r="L20" s="3"/>
      <c r="M20" s="3"/>
      <c r="N20" s="3"/>
      <c r="O20" s="3"/>
      <c r="P20" s="3"/>
      <c r="Q20" s="3"/>
      <c r="R20" s="3"/>
      <c r="S20" s="3"/>
    </row>
    <row r="21" spans="1:19" x14ac:dyDescent="0.35">
      <c r="A21" s="3"/>
      <c r="B21" s="3"/>
      <c r="C21" s="3"/>
      <c r="D21" s="3"/>
      <c r="E21" s="3"/>
      <c r="F21" s="3"/>
      <c r="G21" s="3"/>
      <c r="H21" s="3"/>
      <c r="I21" s="3"/>
      <c r="J21" s="3"/>
      <c r="K21" s="3"/>
      <c r="L21" s="3"/>
      <c r="M21" s="3"/>
      <c r="N21" s="3"/>
      <c r="O21" s="3"/>
      <c r="P21" s="3"/>
      <c r="Q21" s="3"/>
      <c r="R21" s="3"/>
      <c r="S21" s="3"/>
    </row>
    <row r="22" spans="1:19" x14ac:dyDescent="0.35">
      <c r="A22" s="3"/>
      <c r="B22" s="3"/>
      <c r="C22" s="3"/>
      <c r="D22" s="3"/>
      <c r="E22" s="3"/>
      <c r="F22" s="3"/>
      <c r="G22" s="3"/>
      <c r="H22" s="3"/>
      <c r="I22" s="3"/>
      <c r="J22" s="3"/>
      <c r="K22" s="3"/>
      <c r="L22" s="3"/>
      <c r="M22" s="3"/>
      <c r="N22" s="3"/>
      <c r="O22" s="3"/>
      <c r="P22" s="3"/>
      <c r="Q22" s="3"/>
      <c r="R22" s="3"/>
      <c r="S22" s="3"/>
    </row>
    <row r="23" spans="1:19" x14ac:dyDescent="0.35">
      <c r="A23" s="3"/>
      <c r="B23" s="3"/>
      <c r="C23" s="3"/>
      <c r="D23" s="3"/>
      <c r="E23" s="3"/>
      <c r="F23" s="3"/>
      <c r="G23" s="3"/>
      <c r="H23" s="3"/>
      <c r="I23" s="3"/>
      <c r="J23" s="3"/>
      <c r="K23" s="3"/>
      <c r="L23" s="3"/>
      <c r="M23" s="3"/>
      <c r="N23" s="3"/>
      <c r="O23" s="3"/>
      <c r="P23" s="3"/>
      <c r="Q23" s="3"/>
      <c r="R23" s="3"/>
      <c r="S23" s="3"/>
    </row>
    <row r="24" spans="1:19" x14ac:dyDescent="0.35">
      <c r="A24" s="3"/>
      <c r="B24" s="3"/>
      <c r="C24" s="3"/>
      <c r="D24" s="3"/>
      <c r="E24" s="3"/>
      <c r="F24" s="3"/>
      <c r="G24" s="3"/>
      <c r="H24" s="3"/>
      <c r="I24" s="3"/>
      <c r="J24" s="3"/>
      <c r="K24" s="3"/>
      <c r="L24" s="3"/>
      <c r="M24" s="3"/>
      <c r="N24" s="3"/>
      <c r="O24" s="3"/>
      <c r="P24" s="3"/>
      <c r="Q24" s="3"/>
      <c r="R24" s="3"/>
      <c r="S24"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0732B-E880-415A-BDE8-89B4157EF682}">
  <dimension ref="A1:Q21"/>
  <sheetViews>
    <sheetView zoomScale="135" workbookViewId="0"/>
  </sheetViews>
  <sheetFormatPr defaultRowHeight="14.5" x14ac:dyDescent="0.35"/>
  <sheetData>
    <row r="1" spans="1:17" x14ac:dyDescent="0.35">
      <c r="A1" s="2"/>
      <c r="B1" s="2"/>
      <c r="C1" s="2"/>
      <c r="D1" s="2"/>
      <c r="E1" s="2"/>
      <c r="F1" s="2"/>
      <c r="G1" s="2"/>
      <c r="H1" s="2"/>
      <c r="I1" s="2"/>
      <c r="J1" s="2"/>
      <c r="K1" s="2"/>
      <c r="L1" s="2"/>
      <c r="M1" s="2"/>
      <c r="N1" s="2"/>
      <c r="O1" s="2"/>
      <c r="P1" s="2"/>
      <c r="Q1" s="2"/>
    </row>
    <row r="2" spans="1:17" x14ac:dyDescent="0.35">
      <c r="A2" s="2"/>
      <c r="B2" s="2"/>
      <c r="C2" s="2"/>
      <c r="D2" s="2"/>
      <c r="E2" s="2"/>
      <c r="F2" s="2"/>
      <c r="G2" s="2"/>
      <c r="H2" s="2"/>
      <c r="I2" s="2"/>
      <c r="J2" s="2"/>
      <c r="K2" s="2"/>
      <c r="L2" s="2"/>
      <c r="M2" s="2"/>
      <c r="N2" s="2"/>
      <c r="O2" s="2"/>
      <c r="P2" s="2"/>
      <c r="Q2" s="2"/>
    </row>
    <row r="3" spans="1:17" x14ac:dyDescent="0.35">
      <c r="A3" s="2"/>
      <c r="B3" s="2"/>
      <c r="C3" s="2"/>
      <c r="D3" s="2"/>
      <c r="E3" s="2"/>
      <c r="F3" s="2"/>
      <c r="G3" s="2"/>
      <c r="H3" s="2"/>
      <c r="I3" s="2"/>
      <c r="J3" s="2"/>
      <c r="K3" s="2"/>
      <c r="L3" s="2"/>
      <c r="M3" s="2"/>
      <c r="N3" s="2"/>
      <c r="O3" s="2"/>
      <c r="P3" s="2"/>
      <c r="Q3" s="2"/>
    </row>
    <row r="4" spans="1:17" x14ac:dyDescent="0.35">
      <c r="A4" s="2"/>
      <c r="B4" s="2"/>
      <c r="C4" s="2"/>
      <c r="D4" s="2"/>
      <c r="E4" s="2"/>
      <c r="F4" s="2"/>
      <c r="G4" s="2"/>
      <c r="H4" s="2"/>
      <c r="I4" s="2"/>
      <c r="J4" s="2"/>
      <c r="K4" s="2"/>
      <c r="L4" s="2"/>
      <c r="M4" s="2"/>
      <c r="N4" s="2"/>
      <c r="O4" s="2"/>
      <c r="P4" s="2"/>
      <c r="Q4" s="2"/>
    </row>
    <row r="5" spans="1:17" x14ac:dyDescent="0.35">
      <c r="A5" s="2"/>
      <c r="B5" s="2"/>
      <c r="C5" s="2"/>
      <c r="D5" s="2"/>
      <c r="E5" s="2"/>
      <c r="F5" s="2"/>
      <c r="G5" s="2"/>
      <c r="H5" s="2"/>
      <c r="I5" s="2"/>
      <c r="J5" s="2"/>
      <c r="K5" s="2"/>
      <c r="L5" s="2"/>
      <c r="M5" s="2"/>
      <c r="N5" s="2"/>
      <c r="O5" s="2"/>
      <c r="P5" s="2"/>
      <c r="Q5" s="2"/>
    </row>
    <row r="6" spans="1:17" x14ac:dyDescent="0.35">
      <c r="A6" s="2"/>
      <c r="B6" s="2"/>
      <c r="C6" s="2"/>
      <c r="D6" s="2"/>
      <c r="E6" s="2"/>
      <c r="F6" s="2"/>
      <c r="G6" s="2"/>
      <c r="H6" s="2"/>
      <c r="I6" s="2"/>
      <c r="J6" s="2"/>
      <c r="K6" s="2"/>
      <c r="L6" s="2"/>
      <c r="M6" s="2"/>
      <c r="N6" s="2"/>
      <c r="O6" s="2"/>
      <c r="P6" s="2"/>
      <c r="Q6" s="2"/>
    </row>
    <row r="7" spans="1:17" x14ac:dyDescent="0.35">
      <c r="A7" s="2"/>
      <c r="B7" s="2"/>
      <c r="C7" s="2"/>
      <c r="D7" s="2"/>
      <c r="E7" s="2"/>
      <c r="F7" s="2"/>
      <c r="G7" s="2"/>
      <c r="H7" s="2"/>
      <c r="I7" s="2"/>
      <c r="J7" s="2"/>
      <c r="K7" s="2"/>
      <c r="L7" s="2"/>
      <c r="M7" s="2"/>
      <c r="N7" s="2"/>
      <c r="O7" s="2"/>
      <c r="P7" s="2"/>
      <c r="Q7" s="2"/>
    </row>
    <row r="8" spans="1:17" x14ac:dyDescent="0.35">
      <c r="A8" s="2"/>
      <c r="B8" s="2"/>
      <c r="C8" s="2"/>
      <c r="D8" s="2"/>
      <c r="E8" s="2"/>
      <c r="F8" s="2"/>
      <c r="G8" s="2"/>
      <c r="H8" s="2"/>
      <c r="I8" s="2"/>
      <c r="J8" s="2"/>
      <c r="K8" s="2"/>
      <c r="L8" s="2"/>
      <c r="M8" s="2"/>
      <c r="N8" s="2"/>
      <c r="O8" s="2"/>
      <c r="P8" s="2"/>
      <c r="Q8" s="2"/>
    </row>
    <row r="9" spans="1:17" x14ac:dyDescent="0.35">
      <c r="A9" s="2"/>
      <c r="B9" s="2"/>
      <c r="C9" s="2"/>
      <c r="D9" s="2"/>
      <c r="E9" s="2"/>
      <c r="F9" s="2"/>
      <c r="G9" s="2"/>
      <c r="H9" s="2"/>
      <c r="I9" s="2"/>
      <c r="J9" s="2"/>
      <c r="K9" s="2"/>
      <c r="L9" s="2"/>
      <c r="M9" s="2"/>
      <c r="N9" s="2"/>
      <c r="O9" s="2"/>
      <c r="P9" s="2"/>
      <c r="Q9" s="2"/>
    </row>
    <row r="10" spans="1:17" x14ac:dyDescent="0.35">
      <c r="A10" s="2"/>
      <c r="B10" s="2"/>
      <c r="C10" s="2"/>
      <c r="D10" s="2"/>
      <c r="E10" s="2"/>
      <c r="F10" s="2"/>
      <c r="G10" s="2"/>
      <c r="H10" s="2"/>
      <c r="I10" s="2"/>
      <c r="J10" s="2"/>
      <c r="K10" s="2"/>
      <c r="L10" s="2"/>
      <c r="M10" s="2"/>
      <c r="N10" s="2"/>
      <c r="O10" s="2"/>
      <c r="P10" s="2"/>
      <c r="Q10" s="2"/>
    </row>
    <row r="11" spans="1:17" x14ac:dyDescent="0.35">
      <c r="A11" s="2"/>
      <c r="B11" s="2"/>
      <c r="C11" s="2"/>
      <c r="D11" s="2"/>
      <c r="E11" s="2"/>
      <c r="F11" s="2"/>
      <c r="G11" s="2"/>
      <c r="H11" s="2"/>
      <c r="I11" s="2"/>
      <c r="J11" s="2"/>
      <c r="K11" s="2"/>
      <c r="L11" s="2"/>
      <c r="M11" s="2"/>
      <c r="N11" s="2"/>
      <c r="O11" s="2"/>
      <c r="P11" s="2"/>
      <c r="Q11" s="2"/>
    </row>
    <row r="12" spans="1:17" x14ac:dyDescent="0.35">
      <c r="A12" s="2"/>
      <c r="B12" s="2"/>
      <c r="C12" s="2"/>
      <c r="D12" s="2"/>
      <c r="E12" s="2"/>
      <c r="F12" s="2"/>
      <c r="G12" s="2"/>
      <c r="H12" s="2"/>
      <c r="I12" s="2"/>
      <c r="J12" s="2"/>
      <c r="K12" s="2"/>
      <c r="L12" s="2"/>
      <c r="M12" s="2"/>
      <c r="N12" s="2"/>
      <c r="O12" s="2"/>
      <c r="P12" s="2"/>
      <c r="Q12" s="2"/>
    </row>
    <row r="13" spans="1:17" x14ac:dyDescent="0.35">
      <c r="A13" s="2"/>
      <c r="B13" s="2"/>
      <c r="C13" s="2"/>
      <c r="D13" s="2"/>
      <c r="E13" s="2"/>
      <c r="F13" s="2"/>
      <c r="G13" s="2"/>
      <c r="H13" s="2"/>
      <c r="I13" s="2"/>
      <c r="J13" s="2"/>
      <c r="K13" s="2"/>
      <c r="L13" s="2"/>
      <c r="M13" s="2"/>
      <c r="N13" s="2"/>
      <c r="O13" s="2"/>
      <c r="P13" s="2"/>
      <c r="Q13" s="2"/>
    </row>
    <row r="14" spans="1:17" x14ac:dyDescent="0.35">
      <c r="A14" s="2"/>
      <c r="B14" s="2"/>
      <c r="C14" s="2"/>
      <c r="D14" s="2"/>
      <c r="E14" s="2"/>
      <c r="F14" s="2"/>
      <c r="G14" s="2"/>
      <c r="H14" s="2"/>
      <c r="I14" s="2"/>
      <c r="J14" s="2"/>
      <c r="K14" s="2"/>
      <c r="L14" s="2"/>
      <c r="M14" s="2"/>
      <c r="N14" s="2"/>
      <c r="O14" s="2"/>
      <c r="P14" s="2"/>
      <c r="Q14" s="2"/>
    </row>
    <row r="15" spans="1:17" x14ac:dyDescent="0.35">
      <c r="A15" s="2"/>
      <c r="B15" s="2"/>
      <c r="C15" s="2"/>
      <c r="D15" s="2"/>
      <c r="E15" s="2"/>
      <c r="F15" s="2"/>
      <c r="G15" s="2"/>
      <c r="H15" s="2"/>
      <c r="I15" s="2"/>
      <c r="J15" s="2"/>
      <c r="K15" s="2"/>
      <c r="L15" s="2"/>
      <c r="M15" s="2"/>
      <c r="N15" s="2"/>
      <c r="O15" s="2"/>
      <c r="P15" s="2"/>
      <c r="Q15" s="2"/>
    </row>
    <row r="16" spans="1:17" x14ac:dyDescent="0.35">
      <c r="A16" s="2"/>
      <c r="B16" s="2"/>
      <c r="C16" s="2"/>
      <c r="D16" s="2"/>
      <c r="E16" s="2"/>
      <c r="F16" s="2"/>
      <c r="G16" s="2"/>
      <c r="H16" s="2"/>
      <c r="I16" s="2"/>
      <c r="J16" s="2"/>
      <c r="K16" s="2"/>
      <c r="L16" s="2"/>
      <c r="M16" s="2"/>
      <c r="N16" s="2"/>
      <c r="O16" s="2"/>
      <c r="P16" s="2"/>
      <c r="Q16" s="2"/>
    </row>
    <row r="17" spans="1:17" x14ac:dyDescent="0.35">
      <c r="A17" s="2"/>
      <c r="B17" s="2"/>
      <c r="C17" s="2"/>
      <c r="D17" s="2"/>
      <c r="E17" s="2"/>
      <c r="F17" s="2"/>
      <c r="G17" s="2"/>
      <c r="H17" s="2"/>
      <c r="I17" s="2"/>
      <c r="J17" s="2"/>
      <c r="K17" s="2"/>
      <c r="L17" s="2"/>
      <c r="M17" s="2"/>
      <c r="N17" s="2"/>
      <c r="O17" s="2"/>
      <c r="P17" s="2"/>
      <c r="Q17" s="2"/>
    </row>
    <row r="18" spans="1:17" x14ac:dyDescent="0.35">
      <c r="A18" s="2"/>
      <c r="B18" s="2"/>
      <c r="C18" s="2"/>
      <c r="D18" s="2"/>
      <c r="E18" s="2"/>
      <c r="F18" s="2"/>
      <c r="G18" s="2"/>
      <c r="H18" s="2"/>
      <c r="I18" s="2"/>
      <c r="J18" s="2"/>
      <c r="K18" s="2"/>
      <c r="L18" s="2"/>
      <c r="M18" s="2"/>
      <c r="N18" s="2"/>
      <c r="O18" s="2"/>
      <c r="P18" s="2"/>
      <c r="Q18" s="2"/>
    </row>
    <row r="19" spans="1:17" x14ac:dyDescent="0.35">
      <c r="A19" s="2"/>
      <c r="B19" s="2"/>
      <c r="C19" s="2"/>
      <c r="D19" s="2"/>
      <c r="E19" s="2"/>
      <c r="F19" s="2"/>
      <c r="G19" s="2"/>
      <c r="H19" s="2"/>
      <c r="I19" s="2"/>
      <c r="J19" s="2"/>
      <c r="K19" s="2"/>
      <c r="L19" s="2"/>
      <c r="M19" s="2"/>
      <c r="N19" s="2"/>
      <c r="O19" s="2"/>
      <c r="P19" s="2"/>
      <c r="Q19" s="2"/>
    </row>
    <row r="20" spans="1:17" x14ac:dyDescent="0.35">
      <c r="A20" s="2"/>
      <c r="B20" s="2"/>
      <c r="C20" s="2"/>
      <c r="D20" s="2"/>
      <c r="E20" s="2"/>
      <c r="F20" s="2"/>
      <c r="G20" s="2"/>
      <c r="H20" s="2"/>
      <c r="I20" s="2"/>
      <c r="J20" s="2"/>
      <c r="K20" s="2"/>
      <c r="L20" s="2"/>
      <c r="M20" s="2"/>
      <c r="N20" s="2"/>
      <c r="O20" s="2"/>
      <c r="P20" s="2"/>
      <c r="Q20" s="2"/>
    </row>
    <row r="21" spans="1:17" x14ac:dyDescent="0.35">
      <c r="A21" s="2"/>
      <c r="B21" s="2"/>
      <c r="C21" s="2"/>
      <c r="D21" s="2"/>
      <c r="E21" s="2"/>
      <c r="F21" s="2"/>
      <c r="G21" s="2"/>
      <c r="H21" s="2"/>
      <c r="I21" s="2"/>
      <c r="J21" s="2"/>
      <c r="K21" s="2"/>
      <c r="L21" s="2"/>
      <c r="M21" s="2"/>
      <c r="N21" s="2"/>
      <c r="O21" s="2"/>
      <c r="P21" s="2"/>
      <c r="Q21" s="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DDE177-BEB8-4F92-A974-E1E30FA1488D}">
  <ds:schemaRefs/>
</ds:datastoreItem>
</file>

<file path=customXml/itemProps2.xml><?xml version="1.0" encoding="utf-8"?>
<ds:datastoreItem xmlns:ds="http://schemas.openxmlformats.org/officeDocument/2006/customXml" ds:itemID="{0998E725-1645-423C-867B-D97F112AF45E}">
  <ds:schemaRefs/>
</ds:datastoreItem>
</file>

<file path=customXml/itemProps3.xml><?xml version="1.0" encoding="utf-8"?>
<ds:datastoreItem xmlns:ds="http://schemas.openxmlformats.org/officeDocument/2006/customXml" ds:itemID="{6ACD849E-280D-413F-80E7-538C7D724F9A}">
  <ds:schemaRefs/>
</ds:datastoreItem>
</file>

<file path=customXml/itemProps4.xml><?xml version="1.0" encoding="utf-8"?>
<ds:datastoreItem xmlns:ds="http://schemas.openxmlformats.org/officeDocument/2006/customXml" ds:itemID="{BE7A95CE-9D2E-48B8-B1C8-B5951FD5533F}">
  <ds:schemaRefs/>
</ds:datastoreItem>
</file>

<file path=customXml/itemProps5.xml><?xml version="1.0" encoding="utf-8"?>
<ds:datastoreItem xmlns:ds="http://schemas.openxmlformats.org/officeDocument/2006/customXml" ds:itemID="{CE378699-E5C3-43C8-95D3-36DA1018D65D}">
  <ds:schemaRefs>
    <ds:schemaRef ds:uri="http://schemas.microsoft.com/DataMashup"/>
  </ds:schemaRefs>
</ds:datastoreItem>
</file>

<file path=customXml/itemProps6.xml><?xml version="1.0" encoding="utf-8"?>
<ds:datastoreItem xmlns:ds="http://schemas.openxmlformats.org/officeDocument/2006/customXml" ds:itemID="{AEB3C471-3696-4D24-B14D-5AEDC82AE616}">
  <ds:schemaRefs/>
</ds:datastoreItem>
</file>

<file path=customXml/itemProps7.xml><?xml version="1.0" encoding="utf-8"?>
<ds:datastoreItem xmlns:ds="http://schemas.openxmlformats.org/officeDocument/2006/customXml" ds:itemID="{51B6EB12-61E5-4B9D-BC7B-9677A8B844F0}">
  <ds:schemaRefs/>
</ds:datastoreItem>
</file>

<file path=customXml/itemProps8.xml><?xml version="1.0" encoding="utf-8"?>
<ds:datastoreItem xmlns:ds="http://schemas.openxmlformats.org/officeDocument/2006/customXml" ds:itemID="{752EAEFB-CACE-4EB8-87A4-DC2B62118C87}">
  <ds:schemaRefs/>
</ds:datastoreItem>
</file>

<file path=customXml/itemProps9.xml><?xml version="1.0" encoding="utf-8"?>
<ds:datastoreItem xmlns:ds="http://schemas.openxmlformats.org/officeDocument/2006/customXml" ds:itemID="{1621D7B2-C5C1-4710-B71B-CCC4DB991DC6}">
  <ds:schemaRefs/>
</ds:datastoreItem>
</file>

<file path=customXml/itemProps10.xml><?xml version="1.0" encoding="utf-8"?>
<ds:datastoreItem xmlns:ds="http://schemas.openxmlformats.org/officeDocument/2006/customXml" ds:itemID="{4950207D-AAF1-4202-B667-0FCAFA342565}">
  <ds:schemaRefs/>
</ds:datastoreItem>
</file>

<file path=customXml/itemProps11.xml><?xml version="1.0" encoding="utf-8"?>
<ds:datastoreItem xmlns:ds="http://schemas.openxmlformats.org/officeDocument/2006/customXml" ds:itemID="{0DE1BDA8-CE6E-4B9D-BD09-17E17B0479F9}">
  <ds:schemaRefs/>
</ds:datastoreItem>
</file>

<file path=customXml/itemProps12.xml><?xml version="1.0" encoding="utf-8"?>
<ds:datastoreItem xmlns:ds="http://schemas.openxmlformats.org/officeDocument/2006/customXml" ds:itemID="{9569E187-5B70-4028-8D5E-CA905ECF27BF}">
  <ds:schemaRefs/>
</ds:datastoreItem>
</file>

<file path=customXml/itemProps13.xml><?xml version="1.0" encoding="utf-8"?>
<ds:datastoreItem xmlns:ds="http://schemas.openxmlformats.org/officeDocument/2006/customXml" ds:itemID="{47D61EE2-6138-4392-90C7-A4B79A93645D}">
  <ds:schemaRefs/>
</ds:datastoreItem>
</file>

<file path=customXml/itemProps14.xml><?xml version="1.0" encoding="utf-8"?>
<ds:datastoreItem xmlns:ds="http://schemas.openxmlformats.org/officeDocument/2006/customXml" ds:itemID="{4B728BA6-433B-4CA4-9B51-F8E9C1593145}">
  <ds:schemaRefs/>
</ds:datastoreItem>
</file>

<file path=customXml/itemProps15.xml><?xml version="1.0" encoding="utf-8"?>
<ds:datastoreItem xmlns:ds="http://schemas.openxmlformats.org/officeDocument/2006/customXml" ds:itemID="{AD3FC7C3-FA02-41FE-9015-32C58845959B}">
  <ds:schemaRefs/>
</ds:datastoreItem>
</file>

<file path=customXml/itemProps16.xml><?xml version="1.0" encoding="utf-8"?>
<ds:datastoreItem xmlns:ds="http://schemas.openxmlformats.org/officeDocument/2006/customXml" ds:itemID="{117C50E4-7586-4E8F-BAEF-DDFD733A56F4}">
  <ds:schemaRefs/>
</ds:datastoreItem>
</file>

<file path=customXml/itemProps17.xml><?xml version="1.0" encoding="utf-8"?>
<ds:datastoreItem xmlns:ds="http://schemas.openxmlformats.org/officeDocument/2006/customXml" ds:itemID="{56CD4871-ABC9-4DDC-9E09-448ACEA01025}">
  <ds:schemaRefs/>
</ds:datastoreItem>
</file>

<file path=customXml/itemProps18.xml><?xml version="1.0" encoding="utf-8"?>
<ds:datastoreItem xmlns:ds="http://schemas.openxmlformats.org/officeDocument/2006/customXml" ds:itemID="{D854C8F3-D7E9-4F7E-9D19-6075E4CF14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Satisfaction Score</vt:lpstr>
      <vt:lpstr>DashBoard</vt:lpstr>
      <vt:lpstr>Average WaitTime</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u2025186</dc:creator>
  <cp:lastModifiedBy>u2025186</cp:lastModifiedBy>
  <dcterms:created xsi:type="dcterms:W3CDTF">2026-07-05T19:30:53Z</dcterms:created>
  <dcterms:modified xsi:type="dcterms:W3CDTF">2026-07-12T14:58:09Z</dcterms:modified>
</cp:coreProperties>
</file>